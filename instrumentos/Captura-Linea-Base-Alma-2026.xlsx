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Instrucciones" sheetId="1" state="visible" r:id="rId3"/>
    <sheet name="Definiciones" sheetId="2" state="visible" r:id="rId4"/>
    <sheet name="01 Enero" sheetId="3" state="visible" r:id="rId5"/>
    <sheet name="02 Febrero" sheetId="4" state="visible" r:id="rId6"/>
    <sheet name="03 Marzo" sheetId="5" state="visible" r:id="rId7"/>
    <sheet name="04 Abril" sheetId="6" state="visible" r:id="rId8"/>
    <sheet name="05 Mayo" sheetId="7" state="visible" r:id="rId9"/>
    <sheet name="06 Junio" sheetId="8" state="visible" r:id="rId10"/>
    <sheet name="07 Julio" sheetId="9" state="visible" r:id="rId11"/>
    <sheet name="08 Agosto" sheetId="10" state="visible" r:id="rId12"/>
    <sheet name="09 Septiembre" sheetId="11" state="visible" r:id="rId13"/>
    <sheet name="10 Octubre" sheetId="12" state="visible" r:id="rId14"/>
    <sheet name="11 Noviembre" sheetId="13" state="visible" r:id="rId15"/>
    <sheet name="12 Diciembre" sheetId="14" state="visible" r:id="rId16"/>
    <sheet name="Resumen anual" sheetId="15" state="visible" r:id="rId17"/>
    <sheet name="Los cinco números"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<sst xmlns="http://schemas.openxmlformats.org/spreadsheetml/2006/main" count="594" uniqueCount="156">
  <si>
    <t xml:space="preserve">Los números del centro · Centro de Excelencia Implantológica Alma</t>
  </si>
  <si>
    <t xml:space="preserve">Instrumento del apartado 7 y del apartado 13 del Plan de Dirección v28.0 · Ejercicio 2026</t>
  </si>
  <si>
    <t xml:space="preserve">Para qué sirve</t>
  </si>
  <si>
    <t xml:space="preserve">El Plan de Dirección declara que el centro no dispone todavía de sus cinco números ni de serie propia en ninguno de los diez indicadores. Este libro es el instrumento para conseguirlos: se rellena una hoja al mes y el resumen anual y el semáforo se calculan solos.</t>
  </si>
  <si>
    <t xml:space="preserve">Qué se teclea</t>
  </si>
  <si>
    <t xml:space="preserve">Solo las celdas con fondo amarillo y cifra azul. Todo lo demás son fórmulas: no se sobrescriben.</t>
  </si>
  <si>
    <t xml:space="preserve">Código de color</t>
  </si>
  <si>
    <t xml:space="preserve">Azul sobre amarillo = dato que introduce el centro · Negro = calculado · Verde = viene de otra hoja.</t>
  </si>
  <si>
    <t xml:space="preserve">La regla de reporte</t>
  </si>
  <si>
    <t xml:space="preserve">Un indicador sin dato se reporta en rojo, no en blanco. El semáforo lo hace automáticamente: mientras no haya cifra, la casilla dice SIN DATO y cuenta como roja en la revisión de Junta.</t>
  </si>
  <si>
    <t xml:space="preserve">El indicador 6</t>
  </si>
  <si>
    <t xml:space="preserve">Tiene cohorte cerrada: el dato de un mes no es definitivo hasta sesenta días después. Se anota provisional y se corrige en la revisión siguiente. La columna «Estado del dato» sirve para eso.</t>
  </si>
  <si>
    <t xml:space="preserve">Umbrales</t>
  </si>
  <si>
    <t xml:space="preserve">Están en la hoja Definiciones y son supuestos de trabajo, no objetivos aprobados. Se cambian ahí una sola vez y todas las hojas mensuales los recogen.</t>
  </si>
  <si>
    <t xml:space="preserve">Los cinco números</t>
  </si>
  <si>
    <t xml:space="preserve">Tienen hoja propia. Son la prioridad: sin ellos cualquier objetivo comercial es una opinión.</t>
  </si>
  <si>
    <t xml:space="preserve">Ejemplo</t>
  </si>
  <si>
    <t xml:space="preserve">La hoja «01 Enero» viene con una fila de ejemplo en gris al pie, para mostrar el formato esperado. Bórrese antes de usarla.</t>
  </si>
  <si>
    <t xml:space="preserve">Hojas del libro</t>
  </si>
  <si>
    <t xml:space="preserve">Definiciones</t>
  </si>
  <si>
    <t xml:space="preserve">El diccionario de los diez indicadores y los umbrales editables</t>
  </si>
  <si>
    <t xml:space="preserve">01 a 12 · meses</t>
  </si>
  <si>
    <t xml:space="preserve">Una hoja de captura por mes, con semáforo automático</t>
  </si>
  <si>
    <t xml:space="preserve">Resumen anual</t>
  </si>
  <si>
    <t xml:space="preserve">Los doce meses en una sola rejilla, con tendencia y meses con dato</t>
  </si>
  <si>
    <t xml:space="preserve">Costes fijos, equilibrio, primeras visitas necesarias, producto pendiente y colchón</t>
  </si>
  <si>
    <t xml:space="preserve">Diccionario de indicadores</t>
  </si>
  <si>
    <t xml:space="preserve">Definición operativa acordada. Cambiar aquí un umbral lo cambia en las doce hojas mensuales. Los umbrales son supuestos de trabajo, no objetivos aprobados por la Junta.</t>
  </si>
  <si>
    <t xml:space="preserve">#</t>
  </si>
  <si>
    <t xml:space="preserve">Indicador</t>
  </si>
  <si>
    <t xml:space="preserve">Numerador</t>
  </si>
  <si>
    <t xml:space="preserve">Denominador</t>
  </si>
  <si>
    <t xml:space="preserve">Umbral publicado</t>
  </si>
  <si>
    <t xml:space="preserve">Sentido</t>
  </si>
  <si>
    <t xml:space="preserve">Verde si</t>
  </si>
  <si>
    <t xml:space="preserve">Ámbar si</t>
  </si>
  <si>
    <t xml:space="preserve">Qué queda fuera</t>
  </si>
  <si>
    <t xml:space="preserve">Verificaciones regulatorias cerradas</t>
  </si>
  <si>
    <t xml:space="preserve">Verificaciones V1–V11 con evidencia archivada</t>
  </si>
  <si>
    <t xml:space="preserve">11 (fijo)</t>
  </si>
  <si>
    <t xml:space="preserve">11 de 11</t>
  </si>
  <si>
    <t xml:space="preserve">mayor</t>
  </si>
  <si>
    <t xml:space="preserve">Nada: una verificación en trámite cuenta como no cerrada</t>
  </si>
  <si>
    <t xml:space="preserve">Bajas voluntarias del equipo</t>
  </si>
  <si>
    <t xml:space="preserve">Ceses a instancia de la persona trabajadora</t>
  </si>
  <si>
    <t xml:space="preserve">Plantilla media del mes</t>
  </si>
  <si>
    <t xml:space="preserve">0</t>
  </si>
  <si>
    <t xml:space="preserve">menor</t>
  </si>
  <si>
    <t xml:space="preserve">Fin de contrato temporal previsto e incapacidades temporales</t>
  </si>
  <si>
    <t xml:space="preserve">Reclamaciones de pacientes heredados</t>
  </si>
  <si>
    <t xml:space="preserve">Reclamaciones formales del mes</t>
  </si>
  <si>
    <t xml:space="preserve">—</t>
  </si>
  <si>
    <t xml:space="preserve">Quejas verbales resueltas en el acto y registradas como incidencia de nivel 1</t>
  </si>
  <si>
    <t xml:space="preserve">Documentación digitalizada el mismo día</t>
  </si>
  <si>
    <t xml:space="preserve">Actos con historia, consentimiento e imágenes en el día</t>
  </si>
  <si>
    <t xml:space="preserve">Actos clínicos del día</t>
  </si>
  <si>
    <t xml:space="preserve">100 %</t>
  </si>
  <si>
    <t xml:space="preserve">Nada</t>
  </si>
  <si>
    <t xml:space="preserve">Producto pendiente</t>
  </si>
  <si>
    <t xml:space="preserve">Importe aceptado y no terminado a fin de mes</t>
  </si>
  <si>
    <t xml:space="preserve">Descendente</t>
  </si>
  <si>
    <t xml:space="preserve">descendente</t>
  </si>
  <si>
    <t xml:space="preserve">Presupuestos presentados y no aceptados</t>
  </si>
  <si>
    <t xml:space="preserve">Tasa de conversión de la primera visita</t>
  </si>
  <si>
    <t xml:space="preserve">PV del mes aceptadas y pagadas en 60 días</t>
  </si>
  <si>
    <t xml:space="preserve">Primeras visitas del mes</t>
  </si>
  <si>
    <t xml:space="preserve">Línea base y mejora</t>
  </si>
  <si>
    <t xml:space="preserve">Urgencias, segundas opiniones y derivaciones a otro centro por criterio clínico</t>
  </si>
  <si>
    <t xml:space="preserve">Pacientes en mantenimiento activo</t>
  </si>
  <si>
    <t xml:space="preserve">Con revisión en 12 meses y próxima cita agendada</t>
  </si>
  <si>
    <t xml:space="preserve">Pacientes con implantes del centro</t>
  </si>
  <si>
    <t xml:space="preserve">Creciente</t>
  </si>
  <si>
    <t xml:space="preserve">Pacientes con cita agendada pero sin ninguna asistencia en 12 meses</t>
  </si>
  <si>
    <t xml:space="preserve">Captación por recomendación</t>
  </si>
  <si>
    <t xml:space="preserve">PV cuyo origen declarado es la recomendación</t>
  </si>
  <si>
    <t xml:space="preserve">Nada: el origen «no consta» permanece en el denominador</t>
  </si>
  <si>
    <t xml:space="preserve">Ofrecimiento del programa de cuidado</t>
  </si>
  <si>
    <t xml:space="preserve">Cierres con ofrecimiento registrado</t>
  </si>
  <si>
    <t xml:space="preserve">Cierres de tratamiento del mes</t>
  </si>
  <si>
    <t xml:space="preserve">90 %</t>
  </si>
  <si>
    <t xml:space="preserve">Nada: se mide el ofrecimiento, no la contratación</t>
  </si>
  <si>
    <t xml:space="preserve">Auditorías ejecutadas en fecha</t>
  </si>
  <si>
    <t xml:space="preserve">Auditorías realizadas con resultado registrado</t>
  </si>
  <si>
    <t xml:space="preserve">Auditorías programadas</t>
  </si>
  <si>
    <t xml:space="preserve">Nada: una auditoría sin registro cuenta como no realizada</t>
  </si>
  <si>
    <t xml:space="preserve">Los umbrales de las columnas G y H son los únicos valores editables de esta hoja.</t>
  </si>
  <si>
    <t xml:space="preserve">Captura mensual · Enero de 2026</t>
  </si>
  <si>
    <t xml:space="preserve">Rellénense únicamente las casillas amarillas. El resultado y el semáforo se calculan solos.</t>
  </si>
  <si>
    <t xml:space="preserve">Resultado</t>
  </si>
  <si>
    <t xml:space="preserve">Umbral</t>
  </si>
  <si>
    <t xml:space="preserve">Estado</t>
  </si>
  <si>
    <t xml:space="preserve">Estado del dato</t>
  </si>
  <si>
    <t xml:space="preserve">Notas</t>
  </si>
  <si>
    <t xml:space="preserve">Provisional</t>
  </si>
  <si>
    <t xml:space="preserve">El indicador 5 se compara con el mes anterior: la casilla dice COMPARAR porque el sentido «descendente» exige mirar la serie, no un umbral fijo.</t>
  </si>
  <si>
    <t xml:space="preserve">Un indicador en SIN DATO cuenta como rojo en la revisión de Junta.</t>
  </si>
  <si>
    <t xml:space="preserve">EJEMPLO — bórrese antes de usar la hoja</t>
  </si>
  <si>
    <t xml:space="preserve">38 de 84 primeras visitas aceptadas y pagadas dentro de los 60 días</t>
  </si>
  <si>
    <t xml:space="preserve">Captura mensual · Febrero de 2026</t>
  </si>
  <si>
    <t xml:space="preserve">Captura mensual · Marzo de 2026</t>
  </si>
  <si>
    <t xml:space="preserve">Captura mensual · Abril de 2026</t>
  </si>
  <si>
    <t xml:space="preserve">Captura mensual · Mayo de 2026</t>
  </si>
  <si>
    <t xml:space="preserve">Captura mensual · Junio de 2026</t>
  </si>
  <si>
    <t xml:space="preserve">Captura mensual · Julio de 2026</t>
  </si>
  <si>
    <t xml:space="preserve">Captura mensual · Agosto de 2026</t>
  </si>
  <si>
    <t xml:space="preserve">Captura mensual · Septiembre de 2026</t>
  </si>
  <si>
    <t xml:space="preserve">Captura mensual · Octubre de 2026</t>
  </si>
  <si>
    <t xml:space="preserve">Captura mensual · Noviembre de 2026</t>
  </si>
  <si>
    <t xml:space="preserve">Captura mensual · Diciembre de 2026</t>
  </si>
  <si>
    <t xml:space="preserve">Resumen anual · los doce meses en una rejilla</t>
  </si>
  <si>
    <t xml:space="preserve">Todo se recoge de las hojas mensuales. «Meses con dato» es la medida honesta de cuánto sabemos realmente: la Junta debe exigir que llegue a doce.</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</si>
  <si>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</si>
  <si>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</si>
  <si>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</si>
  <si>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</si>
  <si>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</si>
  <si>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</si>
  <si>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</si>
  <si>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</si>
  <si>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</si>
  <si>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</si>
  <si>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</si>
  <si>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</si>
  <si>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Meses con dato</t>
  </si>
  <si>
    <t xml:space="preserve">Primero</t>
  </si>
  <si>
    <t xml:space="preserve">Último</t>
  </si>
  <si>
    <t xml:space="preserve">Tendencia</t>
  </si>
  <si>
    <t xml:space="preserve">El indicador 5 mide euros, no porcentaje: su tendencia «Mejora» significa que el producto pendiente baja.</t>
  </si>
  <si>
    <t xml:space="preserve">Los cinco números que aún no tenemos</t>
  </si>
  <si>
    <t xml:space="preserve">apartado 7 del Plan de Dirección. Rellénense las casillas amarillas; los cinco resultados se calculan solos. Hasta que estén, cualquier objetivo comercial es una opinión.</t>
  </si>
  <si>
    <t xml:space="preserve">Entradas</t>
  </si>
  <si>
    <t xml:space="preserve">Costes fijos mensuales</t>
  </si>
  <si>
    <t xml:space="preserve">Nóminas, alquiler, suministros, seguros, cuotas y amortizaciones. Día 15.</t>
  </si>
  <si>
    <t xml:space="preserve">Margen de contribución sobre venta</t>
  </si>
  <si>
    <t xml:space="preserve">Supuesto de trabajo del apartado 18 mientras no haya escandallo propio.</t>
  </si>
  <si>
    <t xml:space="preserve">Ticket medio del caso aceptado</t>
  </si>
  <si>
    <t xml:space="preserve">Supuesto de trabajo del apartado 18. Se sustituye por el real.</t>
  </si>
  <si>
    <t xml:space="preserve">Enlaza con el indicador 6 en cuanto haya tres meses de serie.</t>
  </si>
  <si>
    <t xml:space="preserve">Días laborables al mes</t>
  </si>
  <si>
    <t xml:space="preserve">Parámetro de capacidad.</t>
  </si>
  <si>
    <t xml:space="preserve">Tesorería disponible</t>
  </si>
  <si>
    <t xml:space="preserve">Saldo libre de compromisos a fecha de corte. Día 21.</t>
  </si>
  <si>
    <t xml:space="preserve">Producto pendiente heredado</t>
  </si>
  <si>
    <t xml:space="preserve">Importe cobrado o comprometido y no ejecutado. Día 15.</t>
  </si>
  <si>
    <t xml:space="preserve">Resultados</t>
  </si>
  <si>
    <t xml:space="preserve">1 · Costes fijos mensuales</t>
  </si>
  <si>
    <t xml:space="preserve">El primero de los cinco. Sin él no hay ninguno de los demás.</t>
  </si>
  <si>
    <t xml:space="preserve">2 · Punto de equilibrio mensual</t>
  </si>
  <si>
    <t xml:space="preserve">Facturación mensual necesaria para cubrir los costes fijos, dado el margen de contribución.</t>
  </si>
  <si>
    <t xml:space="preserve">3 · Primeras visitas necesarias al día</t>
  </si>
  <si>
    <t xml:space="preserve">Cuántas primeras visitas diarias hacen falta para llegar al equilibrio con la conversión y el ticket actuales.</t>
  </si>
  <si>
    <t xml:space="preserve">4 · Producto pendiente heredado</t>
  </si>
  <si>
    <t xml:space="preserve">Caja ya cobrada que hay que convertir en producción. Es la palanca 1 del apartado 14.</t>
  </si>
  <si>
    <t xml:space="preserve">5 · Meses de colchón de tesorería</t>
  </si>
  <si>
    <t xml:space="preserve">Cuántos meses aguanta el centro sin ingresar nada. Por debajo de tres, es un riesgo de Junta.</t>
  </si>
  <si>
    <t xml:space="preserve">Los resultados dicen «pendiente» mientras falte alguna entrada. Es deliberado: un número inventado es peor que un hueco declarado.</t>
  </si>
</sst>
</file>

<file path=xl/styles.xml><?xml version="1.0" encoding="utf-8"?>
<styleSheet xmlns="http://schemas.openxmlformats.org/spreadsheetml/2006/main">
  <numFmts count="8">
    <numFmt numFmtId="164" formatCode="General"/>
    <numFmt numFmtId="165" formatCode="0%"/>
    <numFmt numFmtId="166" formatCode="0.0%"/>
    <numFmt numFmtId="167" formatCode="0.00"/>
    <numFmt numFmtId="168" formatCode="#,##0.##"/>
    <numFmt numFmtId="169" formatCode="0"/>
    <numFmt numFmtId="170" formatCode="#,##0&quot; €&quot;"/>
    <numFmt numFmtId="171" formatCode="0.0"/>
  </numFmts>
  <fonts count="12">
    <font>
      <sz val="11"/>
      <color theme="1"/>
      <name val="Calibri"/>
      <family val="2"/>
      <charset val="1"/>
    </font>
    <font>
      <sz val="10"/>
      <name val="Arial"/>
      <family val="0"/>
    </font>
    <font>
      <sz val="10"/>
      <name val="Arial"/>
      <family val="0"/>
    </font>
    <font>
      <sz val="10"/>
      <name val="Arial"/>
      <family val="0"/>
    </font>
    <font>
      <b val="true"/>
      <sz val="14"/>
      <color rgb="FF0B1A20"/>
      <name val="Arial"/>
      <family val="0"/>
      <charset val="1"/>
    </font>
    <font>
      <sz val="9"/>
      <color rgb="FF5D7178"/>
      <name val="Arial"/>
      <family val="0"/>
      <charset val="1"/>
    </font>
    <font>
      <b val="true"/>
      <sz val="10"/>
      <color rgb="FF0B1A20"/>
      <name val="Arial"/>
      <family val="0"/>
      <charset val="1"/>
    </font>
    <font>
      <sz val="10"/>
      <color rgb="FF0B1A20"/>
      <name val="Arial"/>
      <family val="0"/>
      <charset val="1"/>
    </font>
    <font>
      <b val="true"/>
      <sz val="9"/>
      <color rgb="FFFFFFFF"/>
      <name val="Arial"/>
      <family val="0"/>
      <charset val="1"/>
    </font>
    <font>
      <sz val="10"/>
      <color rgb="FF0000FF"/>
      <name val="Arial"/>
      <family val="0"/>
      <charset val="1"/>
    </font>
    <font>
      <b val="true"/>
      <sz val="9"/>
      <color rgb="FF8A5015"/>
      <name val="Arial"/>
      <family val="0"/>
      <charset val="1"/>
    </font>
    <font>
      <sz val="10"/>
      <color rgb="FF008000"/>
      <name val="Arial"/>
      <family val="0"/>
      <charset val="1"/>
    </font>
  </fonts>
  <fills count="5">
    <fill>
      <patternFill patternType="none"/>
    </fill>
    <fill>
      <patternFill patternType="gray125"/>
    </fill>
    <fill>
      <patternFill patternType="solid">
        <fgColor rgb="FF0B1A20"/>
        <bgColor rgb="FF000000"/>
      </patternFill>
    </fill>
    <fill>
      <patternFill patternType="solid">
        <fgColor rgb="FFFFFF00"/>
        <bgColor rgb="FFFFFF00"/>
      </patternFill>
    </fill>
    <fill>
      <patternFill patternType="solid">
        <fgColor rgb="FFF2F4F1"/>
        <bgColor rgb="FFFFFFFF"/>
      </patternFill>
    </fill>
  </fills>
  <borders count="2">
    <border diagonalUp="false" diagonalDown="false">
      <left/>
      <right/>
      <top/>
      <bottom/>
      <diagonal/>
    </border>
    <border diagonalUp="false" diagonalDown="false">
      <left style="thin">
        <color rgb="FFD5DAD6"/>
      </left>
      <right style="thin">
        <color rgb="FFD5DAD6"/>
      </right>
      <top style="thin">
        <color rgb="FFD5DAD6"/>
      </top>
      <bottom style="thin">
        <color rgb="FFD5DA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9" fillId="3" borderId="1" xfId="0" applyFont="true" applyBorder="true" applyAlignment="true" applyProtection="false">
      <alignment horizontal="general" vertical="top" textRotation="0" wrapText="true" indent="0" shrinkToFit="false"/>
      <protection locked="true" hidden="false"/>
    </xf>
    <xf numFmtId="166" fontId="9" fillId="3" borderId="1" xfId="0" applyFont="true" applyBorder="true" applyAlignment="true" applyProtection="false">
      <alignment horizontal="general" vertical="top" textRotation="0" wrapText="true" indent="0" shrinkToFit="false"/>
      <protection locked="true" hidden="false"/>
    </xf>
    <xf numFmtId="167" fontId="9"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1"/>
      <rgbColor rgb="FFCCFFFF"/>
      <rgbColor rgb="FF660066"/>
      <rgbColor rgb="FFFF8080"/>
      <rgbColor rgb="FF0066CC"/>
      <rgbColor rgb="FFD5DA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D7178"/>
      <rgbColor rgb="FF969696"/>
      <rgbColor rgb="FF003366"/>
      <rgbColor rgb="FF339966"/>
      <rgbColor rgb="FF0B1A20"/>
      <rgbColor rgb="FF333300"/>
      <rgbColor rgb="FF8A5015"/>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6"/>
  </cols>
  <sheetData>
    <row r="2" customFormat="false" ht="17.35" hidden="false" customHeight="false" outlineLevel="0" collapsed="false">
      <c r="B2" s="1" t="s">
        <v>0</v>
      </c>
    </row>
    <row r="3" customFormat="false" ht="15" hidden="false" customHeight="false" outlineLevel="0" collapsed="false">
      <c r="B3" s="2" t="s">
        <v>1</v>
      </c>
    </row>
    <row r="5" customFormat="false" ht="30" hidden="false" customHeight="true" outlineLevel="0" collapsed="false">
      <c r="B5" s="3" t="s">
        <v>2</v>
      </c>
      <c r="C5" s="4" t="s">
        <v>3</v>
      </c>
    </row>
    <row r="6" customFormat="false" ht="30" hidden="false" customHeight="true" outlineLevel="0" collapsed="false">
      <c r="B6" s="3" t="s">
        <v>4</v>
      </c>
      <c r="C6" s="4" t="s">
        <v>5</v>
      </c>
    </row>
    <row r="7" customFormat="false" ht="30" hidden="false" customHeight="true" outlineLevel="0" collapsed="false">
      <c r="B7" s="3" t="s">
        <v>6</v>
      </c>
      <c r="C7" s="4" t="s">
        <v>7</v>
      </c>
    </row>
    <row r="8" customFormat="false" ht="30" hidden="false" customHeight="true" outlineLevel="0" collapsed="false">
      <c r="B8" s="3" t="s">
        <v>8</v>
      </c>
      <c r="C8" s="4" t="s">
        <v>9</v>
      </c>
    </row>
    <row r="9" customFormat="false" ht="30" hidden="false" customHeight="true" outlineLevel="0" collapsed="false">
      <c r="B9" s="3" t="s">
        <v>10</v>
      </c>
      <c r="C9" s="4" t="s">
        <v>11</v>
      </c>
    </row>
    <row r="10" customFormat="false" ht="30" hidden="false" customHeight="true" outlineLevel="0" collapsed="false">
      <c r="B10" s="3" t="s">
        <v>12</v>
      </c>
      <c r="C10" s="4" t="s">
        <v>13</v>
      </c>
    </row>
    <row r="11" customFormat="false" ht="30" hidden="false" customHeight="true" outlineLevel="0" collapsed="false">
      <c r="B11" s="3" t="s">
        <v>14</v>
      </c>
      <c r="C11" s="4" t="s">
        <v>15</v>
      </c>
    </row>
    <row r="12" customFormat="false" ht="30" hidden="false" customHeight="true" outlineLevel="0" collapsed="false">
      <c r="B12" s="3" t="s">
        <v>16</v>
      </c>
      <c r="C12" s="4" t="s">
        <v>17</v>
      </c>
    </row>
    <row r="14" customFormat="false" ht="15" hidden="false" customHeight="false" outlineLevel="0" collapsed="false">
      <c r="B14" s="3" t="s">
        <v>18</v>
      </c>
    </row>
    <row r="15" customFormat="false" ht="15" hidden="false" customHeight="false" outlineLevel="0" collapsed="false">
      <c r="B15" s="5" t="s">
        <v>19</v>
      </c>
      <c r="C15" s="2" t="s">
        <v>20</v>
      </c>
    </row>
    <row r="16" customFormat="false" ht="15" hidden="false" customHeight="false" outlineLevel="0" collapsed="false">
      <c r="B16" s="5" t="s">
        <v>21</v>
      </c>
      <c r="C16" s="2" t="s">
        <v>22</v>
      </c>
    </row>
    <row r="17" customFormat="false" ht="15" hidden="false" customHeight="false" outlineLevel="0" collapsed="false">
      <c r="B17" s="5" t="s">
        <v>23</v>
      </c>
      <c r="C17" s="2" t="s">
        <v>24</v>
      </c>
    </row>
    <row r="18" customFormat="false" ht="15" hidden="false" customHeight="false" outlineLevel="0" collapsed="false">
      <c r="B18" s="5" t="s">
        <v>14</v>
      </c>
      <c r="C18"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46"/>
    <col collapsed="false" customWidth="true" hidden="false" outlineLevel="0" max="4" min="4" style="0" width="30"/>
    <col collapsed="false" customWidth="true" hidden="false" outlineLevel="0" max="5" min="5" style="0" width="20"/>
    <col collapsed="false" customWidth="true" hidden="false" outlineLevel="0" max="6" min="6" style="0" width="14"/>
    <col collapsed="false" customWidth="true" hidden="false" outlineLevel="0" max="8" min="7" style="0" width="12"/>
    <col collapsed="false" customWidth="true" hidden="false" outlineLevel="0" max="9" min="9" style="0" width="52"/>
  </cols>
  <sheetData>
    <row r="1" customFormat="false" ht="17.35" hidden="false" customHeight="false" outlineLevel="0" collapsed="false">
      <c r="A1" s="1" t="s">
        <v>26</v>
      </c>
    </row>
    <row r="2" customFormat="false" ht="15" hidden="false" customHeight="false" outlineLevel="0" collapsed="false">
      <c r="A2" s="2" t="s">
        <v>27</v>
      </c>
    </row>
    <row r="4" customFormat="false" ht="31.5" hidden="false" customHeight="true" outlineLevel="0" collapsed="false">
      <c r="A4" s="6" t="s">
        <v>28</v>
      </c>
      <c r="B4" s="6" t="s">
        <v>29</v>
      </c>
      <c r="C4" s="6" t="s">
        <v>30</v>
      </c>
      <c r="D4" s="6" t="s">
        <v>31</v>
      </c>
      <c r="E4" s="6" t="s">
        <v>32</v>
      </c>
      <c r="F4" s="6" t="s">
        <v>33</v>
      </c>
      <c r="G4" s="6" t="s">
        <v>34</v>
      </c>
      <c r="H4" s="6" t="s">
        <v>35</v>
      </c>
      <c r="I4" s="6" t="s">
        <v>36</v>
      </c>
    </row>
    <row r="5" customFormat="false" ht="33.75" hidden="false" customHeight="true" outlineLevel="0" collapsed="false">
      <c r="A5" s="7" t="n">
        <v>1</v>
      </c>
      <c r="B5" s="7" t="s">
        <v>37</v>
      </c>
      <c r="C5" s="7" t="s">
        <v>38</v>
      </c>
      <c r="D5" s="7" t="s">
        <v>39</v>
      </c>
      <c r="E5" s="7" t="s">
        <v>40</v>
      </c>
      <c r="F5" s="7" t="s">
        <v>41</v>
      </c>
      <c r="G5" s="8" t="n">
        <v>1</v>
      </c>
      <c r="H5" s="8" t="n">
        <v>0.8</v>
      </c>
      <c r="I5" s="7" t="s">
        <v>42</v>
      </c>
    </row>
    <row r="6" customFormat="false" ht="33.75" hidden="false" customHeight="true" outlineLevel="0" collapsed="false">
      <c r="A6" s="7" t="n">
        <v>2</v>
      </c>
      <c r="B6" s="7" t="s">
        <v>43</v>
      </c>
      <c r="C6" s="7" t="s">
        <v>44</v>
      </c>
      <c r="D6" s="7" t="s">
        <v>45</v>
      </c>
      <c r="E6" s="7" t="s">
        <v>46</v>
      </c>
      <c r="F6" s="7" t="s">
        <v>47</v>
      </c>
      <c r="G6" s="9" t="n">
        <v>0.0001</v>
      </c>
      <c r="H6" s="9" t="n">
        <v>0.05</v>
      </c>
      <c r="I6" s="7" t="s">
        <v>48</v>
      </c>
    </row>
    <row r="7" customFormat="false" ht="33.75" hidden="false" customHeight="true" outlineLevel="0" collapsed="false">
      <c r="A7" s="7" t="n">
        <v>3</v>
      </c>
      <c r="B7" s="7" t="s">
        <v>49</v>
      </c>
      <c r="C7" s="7" t="s">
        <v>50</v>
      </c>
      <c r="D7" s="7" t="s">
        <v>51</v>
      </c>
      <c r="E7" s="7" t="s">
        <v>46</v>
      </c>
      <c r="F7" s="7" t="s">
        <v>47</v>
      </c>
      <c r="G7" s="10" t="n">
        <v>0.0001</v>
      </c>
      <c r="H7" s="10" t="n">
        <v>1</v>
      </c>
      <c r="I7" s="7" t="s">
        <v>52</v>
      </c>
    </row>
    <row r="8" customFormat="false" ht="33.75" hidden="false" customHeight="true" outlineLevel="0" collapsed="false">
      <c r="A8" s="7" t="n">
        <v>4</v>
      </c>
      <c r="B8" s="7" t="s">
        <v>53</v>
      </c>
      <c r="C8" s="7" t="s">
        <v>54</v>
      </c>
      <c r="D8" s="7" t="s">
        <v>55</v>
      </c>
      <c r="E8" s="7" t="s">
        <v>56</v>
      </c>
      <c r="F8" s="7" t="s">
        <v>41</v>
      </c>
      <c r="G8" s="8" t="n">
        <v>0.98</v>
      </c>
      <c r="H8" s="8" t="n">
        <v>0.9</v>
      </c>
      <c r="I8" s="7" t="s">
        <v>57</v>
      </c>
    </row>
    <row r="9" customFormat="false" ht="33.75" hidden="false" customHeight="true" outlineLevel="0" collapsed="false">
      <c r="A9" s="7" t="n">
        <v>5</v>
      </c>
      <c r="B9" s="7" t="s">
        <v>58</v>
      </c>
      <c r="C9" s="7" t="s">
        <v>59</v>
      </c>
      <c r="D9" s="7" t="s">
        <v>51</v>
      </c>
      <c r="E9" s="7" t="s">
        <v>60</v>
      </c>
      <c r="F9" s="7" t="s">
        <v>61</v>
      </c>
      <c r="G9" s="10" t="n">
        <v>0</v>
      </c>
      <c r="H9" s="10" t="n">
        <v>0</v>
      </c>
      <c r="I9" s="7" t="s">
        <v>62</v>
      </c>
    </row>
    <row r="10" customFormat="false" ht="33.75" hidden="false" customHeight="true" outlineLevel="0" collapsed="false">
      <c r="A10" s="7" t="n">
        <v>6</v>
      </c>
      <c r="B10" s="7" t="s">
        <v>63</v>
      </c>
      <c r="C10" s="7" t="s">
        <v>64</v>
      </c>
      <c r="D10" s="7" t="s">
        <v>65</v>
      </c>
      <c r="E10" s="7" t="s">
        <v>66</v>
      </c>
      <c r="F10" s="7" t="s">
        <v>41</v>
      </c>
      <c r="G10" s="9" t="n">
        <v>0.45</v>
      </c>
      <c r="H10" s="9" t="n">
        <v>0.35</v>
      </c>
      <c r="I10" s="7" t="s">
        <v>67</v>
      </c>
    </row>
    <row r="11" customFormat="false" ht="33.75" hidden="false" customHeight="true" outlineLevel="0" collapsed="false">
      <c r="A11" s="7" t="n">
        <v>7</v>
      </c>
      <c r="B11" s="7" t="s">
        <v>68</v>
      </c>
      <c r="C11" s="7" t="s">
        <v>69</v>
      </c>
      <c r="D11" s="7" t="s">
        <v>70</v>
      </c>
      <c r="E11" s="7" t="s">
        <v>71</v>
      </c>
      <c r="F11" s="7" t="s">
        <v>41</v>
      </c>
      <c r="G11" s="9" t="n">
        <v>0.6</v>
      </c>
      <c r="H11" s="9" t="n">
        <v>0.4</v>
      </c>
      <c r="I11" s="7" t="s">
        <v>72</v>
      </c>
    </row>
    <row r="12" customFormat="false" ht="33.75" hidden="false" customHeight="true" outlineLevel="0" collapsed="false">
      <c r="A12" s="7" t="n">
        <v>8</v>
      </c>
      <c r="B12" s="7" t="s">
        <v>73</v>
      </c>
      <c r="C12" s="7" t="s">
        <v>74</v>
      </c>
      <c r="D12" s="7" t="s">
        <v>65</v>
      </c>
      <c r="E12" s="7" t="s">
        <v>71</v>
      </c>
      <c r="F12" s="7" t="s">
        <v>41</v>
      </c>
      <c r="G12" s="9" t="n">
        <v>0.3</v>
      </c>
      <c r="H12" s="9" t="n">
        <v>0.2</v>
      </c>
      <c r="I12" s="7" t="s">
        <v>75</v>
      </c>
    </row>
    <row r="13" customFormat="false" ht="33.75" hidden="false" customHeight="true" outlineLevel="0" collapsed="false">
      <c r="A13" s="7" t="n">
        <v>9</v>
      </c>
      <c r="B13" s="7" t="s">
        <v>76</v>
      </c>
      <c r="C13" s="7" t="s">
        <v>77</v>
      </c>
      <c r="D13" s="7" t="s">
        <v>78</v>
      </c>
      <c r="E13" s="7" t="s">
        <v>79</v>
      </c>
      <c r="F13" s="7" t="s">
        <v>41</v>
      </c>
      <c r="G13" s="9" t="n">
        <v>0.9</v>
      </c>
      <c r="H13" s="9" t="n">
        <v>0.8</v>
      </c>
      <c r="I13" s="7" t="s">
        <v>80</v>
      </c>
    </row>
    <row r="14" customFormat="false" ht="33.75" hidden="false" customHeight="true" outlineLevel="0" collapsed="false">
      <c r="A14" s="7" t="n">
        <v>10</v>
      </c>
      <c r="B14" s="7" t="s">
        <v>81</v>
      </c>
      <c r="C14" s="7" t="s">
        <v>82</v>
      </c>
      <c r="D14" s="7" t="s">
        <v>83</v>
      </c>
      <c r="E14" s="7" t="s">
        <v>56</v>
      </c>
      <c r="F14" s="7" t="s">
        <v>41</v>
      </c>
      <c r="G14" s="8" t="n">
        <v>1</v>
      </c>
      <c r="H14" s="8" t="n">
        <v>0.5</v>
      </c>
      <c r="I14" s="7" t="s">
        <v>84</v>
      </c>
    </row>
    <row r="16" customFormat="false" ht="15" hidden="false" customHeight="false" outlineLevel="0" collapsed="false">
      <c r="A16" s="2"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86</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row r="20" customFormat="false" ht="15" hidden="false" customHeight="false" outlineLevel="0" collapsed="false">
      <c r="B20" s="22" t="s">
        <v>96</v>
      </c>
    </row>
    <row r="21" customFormat="false" ht="15" hidden="false" customHeight="false" outlineLevel="0" collapsed="false">
      <c r="A21" s="23" t="n">
        <v>6</v>
      </c>
      <c r="B21" s="23" t="s">
        <v>63</v>
      </c>
      <c r="C21" s="23" t="n">
        <v>38</v>
      </c>
      <c r="D21" s="23" t="n">
        <v>84</v>
      </c>
      <c r="E21" s="24" t="n">
        <f aca="false">IF(OR(C21="",D21=""),"",C21/D21)</f>
        <v>0.452380952380952</v>
      </c>
      <c r="I21" s="2"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98</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99</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100</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101</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102</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103</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104</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105</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106</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107</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108</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14" min="3" style="0" width="9"/>
    <col collapsed="false" customWidth="true" hidden="false" outlineLevel="0" max="18" min="15" style="0" width="15"/>
  </cols>
  <sheetData>
    <row r="1" customFormat="false" ht="17.35" hidden="false" customHeight="false" outlineLevel="0" collapsed="false">
      <c r="A1" s="1" t="s">
        <v>109</v>
      </c>
    </row>
    <row r="2" customFormat="false" ht="15" hidden="false" customHeight="false" outlineLevel="0" collapsed="false">
      <c r="A2" s="2" t="s">
        <v>110</v>
      </c>
    </row>
    <row r="4" customFormat="false" ht="30" hidden="false" customHeight="true" outlineLevel="0" collapsed="false">
      <c r="A4" s="6" t="s">
        <v>28</v>
      </c>
      <c r="B4" s="6" t="s">
        <v>29</v>
      </c>
      <c r="C4" s="6" t="s">
        <v>111</v>
      </c>
      <c r="D4" s="6" t="s">
        <v>112</v>
      </c>
      <c r="E4" s="6" t="s">
        <v>113</v>
      </c>
      <c r="F4" s="6" t="s">
        <v>114</v>
      </c>
      <c r="G4" s="6" t="s">
        <v>115</v>
      </c>
      <c r="H4" s="6" t="s">
        <v>116</v>
      </c>
      <c r="I4" s="6" t="s">
        <v>117</v>
      </c>
      <c r="J4" s="6" t="s">
        <v>118</v>
      </c>
      <c r="K4" s="6" t="s">
        <v>119</v>
      </c>
      <c r="L4" s="6" t="s">
        <v>120</v>
      </c>
      <c r="M4" s="6" t="s">
        <v>121</v>
      </c>
      <c r="N4" s="6" t="s">
        <v>122</v>
      </c>
      <c r="O4" s="6" t="s">
        <v>123</v>
      </c>
      <c r="P4" s="6" t="s">
        <v>124</v>
      </c>
      <c r="Q4" s="6" t="s">
        <v>125</v>
      </c>
      <c r="R4" s="6" t="s">
        <v>126</v>
      </c>
    </row>
    <row r="5" customFormat="false" ht="21.75" hidden="false" customHeight="true" outlineLevel="0" collapsed="false">
      <c r="A5" s="11" t="n">
        <v>1</v>
      </c>
      <c r="B5" s="11" t="s">
        <v>37</v>
      </c>
      <c r="C5" s="25" t="str">
        <f aca="false">IF('01 Enero'!E6="","",'01 Enero'!E6)</f>
        <v/>
      </c>
      <c r="D5" s="25" t="str">
        <f aca="false">IF('02 Febrero'!E6="","",'02 Febrero'!E6)</f>
        <v/>
      </c>
      <c r="E5" s="25" t="str">
        <f aca="false">IF('03 Marzo'!E6="","",'03 Marzo'!E6)</f>
        <v/>
      </c>
      <c r="F5" s="25" t="str">
        <f aca="false">IF('04 Abril'!E6="","",'04 Abril'!E6)</f>
        <v/>
      </c>
      <c r="G5" s="25" t="str">
        <f aca="false">IF('05 Mayo'!E6="","",'05 Mayo'!E6)</f>
        <v/>
      </c>
      <c r="H5" s="25" t="str">
        <f aca="false">IF('06 Junio'!E6="","",'06 Junio'!E6)</f>
        <v/>
      </c>
      <c r="I5" s="25" t="str">
        <f aca="false">IF('07 Julio'!E6="","",'07 Julio'!E6)</f>
        <v/>
      </c>
      <c r="J5" s="25" t="str">
        <f aca="false">IF('08 Agosto'!E6="","",'08 Agosto'!E6)</f>
        <v/>
      </c>
      <c r="K5" s="25" t="str">
        <f aca="false">IF('09 Septiembre'!E6="","",'09 Septiembre'!E6)</f>
        <v/>
      </c>
      <c r="L5" s="25" t="str">
        <f aca="false">IF('10 Octubre'!E6="","",'10 Octubre'!E6)</f>
        <v/>
      </c>
      <c r="M5" s="25" t="str">
        <f aca="false">IF('11 Noviembre'!E6="","",'11 Noviembre'!E6)</f>
        <v/>
      </c>
      <c r="N5" s="25" t="str">
        <f aca="false">IF('12 Diciembre'!E6="","",'12 Diciembre'!E6)</f>
        <v/>
      </c>
      <c r="O5" s="11" t="n">
        <f aca="false">COUNT(C5:N5)</f>
        <v>0</v>
      </c>
      <c r="P5" s="14" t="str">
        <f aca="false">IFERROR(INDEX(C5:N5,MATCH(TRUE(),INDEX(C5:N5&lt;&gt;"",0),0)),"")</f>
        <v/>
      </c>
      <c r="Q5" s="14" t="str">
        <f aca="false">IFERROR(LOOKUP(9.99E+307,C5:N5),"")</f>
        <v/>
      </c>
      <c r="R5" s="11" t="str">
        <f aca="false">IF(O5&lt;2,"—",IF(Q5=P5,"Estable",IF(Q5&gt;P5,"Mejora","Empeora")))</f>
        <v>—</v>
      </c>
    </row>
    <row r="6" customFormat="false" ht="21.75" hidden="false" customHeight="true" outlineLevel="0" collapsed="false">
      <c r="A6" s="11" t="n">
        <v>2</v>
      </c>
      <c r="B6" s="11" t="s">
        <v>43</v>
      </c>
      <c r="C6" s="26" t="str">
        <f aca="false">IF('01 Enero'!E7="","",'01 Enero'!E7)</f>
        <v/>
      </c>
      <c r="D6" s="26" t="str">
        <f aca="false">IF('02 Febrero'!E7="","",'02 Febrero'!E7)</f>
        <v/>
      </c>
      <c r="E6" s="26" t="str">
        <f aca="false">IF('03 Marzo'!E7="","",'03 Marzo'!E7)</f>
        <v/>
      </c>
      <c r="F6" s="26" t="str">
        <f aca="false">IF('04 Abril'!E7="","",'04 Abril'!E7)</f>
        <v/>
      </c>
      <c r="G6" s="26" t="str">
        <f aca="false">IF('05 Mayo'!E7="","",'05 Mayo'!E7)</f>
        <v/>
      </c>
      <c r="H6" s="26" t="str">
        <f aca="false">IF('06 Junio'!E7="","",'06 Junio'!E7)</f>
        <v/>
      </c>
      <c r="I6" s="26" t="str">
        <f aca="false">IF('07 Julio'!E7="","",'07 Julio'!E7)</f>
        <v/>
      </c>
      <c r="J6" s="26" t="str">
        <f aca="false">IF('08 Agosto'!E7="","",'08 Agosto'!E7)</f>
        <v/>
      </c>
      <c r="K6" s="26" t="str">
        <f aca="false">IF('09 Septiembre'!E7="","",'09 Septiembre'!E7)</f>
        <v/>
      </c>
      <c r="L6" s="26" t="str">
        <f aca="false">IF('10 Octubre'!E7="","",'10 Octubre'!E7)</f>
        <v/>
      </c>
      <c r="M6" s="26" t="str">
        <f aca="false">IF('11 Noviembre'!E7="","",'11 Noviembre'!E7)</f>
        <v/>
      </c>
      <c r="N6" s="26" t="str">
        <f aca="false">IF('12 Diciembre'!E7="","",'12 Diciembre'!E7)</f>
        <v/>
      </c>
      <c r="O6" s="11" t="n">
        <f aca="false">COUNT(C6:N6)</f>
        <v>0</v>
      </c>
      <c r="P6" s="18" t="str">
        <f aca="false">IFERROR(INDEX(C6:N6,MATCH(TRUE(),INDEX(C6:N6&lt;&gt;"",0),0)),"")</f>
        <v/>
      </c>
      <c r="Q6" s="18" t="str">
        <f aca="false">IFERROR(LOOKUP(9.99E+307,C6:N6),"")</f>
        <v/>
      </c>
      <c r="R6" s="11" t="str">
        <f aca="false">IF(O6&lt;2,"—",IF(Q6=P6,"Estable",IF(Q6&lt;P6,"Mejora","Empeora")))</f>
        <v>—</v>
      </c>
    </row>
    <row r="7" customFormat="false" ht="21.75" hidden="false" customHeight="true" outlineLevel="0" collapsed="false">
      <c r="A7" s="11" t="n">
        <v>3</v>
      </c>
      <c r="B7" s="11" t="s">
        <v>49</v>
      </c>
      <c r="C7" s="27" t="str">
        <f aca="false">IF('01 Enero'!E8="","",'01 Enero'!E8)</f>
        <v/>
      </c>
      <c r="D7" s="27" t="str">
        <f aca="false">IF('02 Febrero'!E8="","",'02 Febrero'!E8)</f>
        <v/>
      </c>
      <c r="E7" s="27" t="str">
        <f aca="false">IF('03 Marzo'!E8="","",'03 Marzo'!E8)</f>
        <v/>
      </c>
      <c r="F7" s="27" t="str">
        <f aca="false">IF('04 Abril'!E8="","",'04 Abril'!E8)</f>
        <v/>
      </c>
      <c r="G7" s="27" t="str">
        <f aca="false">IF('05 Mayo'!E8="","",'05 Mayo'!E8)</f>
        <v/>
      </c>
      <c r="H7" s="27" t="str">
        <f aca="false">IF('06 Junio'!E8="","",'06 Junio'!E8)</f>
        <v/>
      </c>
      <c r="I7" s="27" t="str">
        <f aca="false">IF('07 Julio'!E8="","",'07 Julio'!E8)</f>
        <v/>
      </c>
      <c r="J7" s="27" t="str">
        <f aca="false">IF('08 Agosto'!E8="","",'08 Agosto'!E8)</f>
        <v/>
      </c>
      <c r="K7" s="27" t="str">
        <f aca="false">IF('09 Septiembre'!E8="","",'09 Septiembre'!E8)</f>
        <v/>
      </c>
      <c r="L7" s="27" t="str">
        <f aca="false">IF('10 Octubre'!E8="","",'10 Octubre'!E8)</f>
        <v/>
      </c>
      <c r="M7" s="27" t="str">
        <f aca="false">IF('11 Noviembre'!E8="","",'11 Noviembre'!E8)</f>
        <v/>
      </c>
      <c r="N7" s="27" t="str">
        <f aca="false">IF('12 Diciembre'!E8="","",'12 Diciembre'!E8)</f>
        <v/>
      </c>
      <c r="O7" s="11" t="n">
        <f aca="false">COUNT(C7:N7)</f>
        <v>0</v>
      </c>
      <c r="P7" s="20" t="str">
        <f aca="false">IFERROR(INDEX(C7:N7,MATCH(TRUE(),INDEX(C7:N7&lt;&gt;"",0),0)),"")</f>
        <v/>
      </c>
      <c r="Q7" s="20" t="str">
        <f aca="false">IFERROR(LOOKUP(9.99E+307,C7:N7),"")</f>
        <v/>
      </c>
      <c r="R7" s="11" t="str">
        <f aca="false">IF(O7&lt;2,"—",IF(Q7=P7,"Estable",IF(Q7&lt;P7,"Mejora","Empeora")))</f>
        <v>—</v>
      </c>
    </row>
    <row r="8" customFormat="false" ht="21.75" hidden="false" customHeight="true" outlineLevel="0" collapsed="false">
      <c r="A8" s="11" t="n">
        <v>4</v>
      </c>
      <c r="B8" s="11" t="s">
        <v>53</v>
      </c>
      <c r="C8" s="25" t="str">
        <f aca="false">IF('01 Enero'!E9="","",'01 Enero'!E9)</f>
        <v/>
      </c>
      <c r="D8" s="25" t="str">
        <f aca="false">IF('02 Febrero'!E9="","",'02 Febrero'!E9)</f>
        <v/>
      </c>
      <c r="E8" s="25" t="str">
        <f aca="false">IF('03 Marzo'!E9="","",'03 Marzo'!E9)</f>
        <v/>
      </c>
      <c r="F8" s="25" t="str">
        <f aca="false">IF('04 Abril'!E9="","",'04 Abril'!E9)</f>
        <v/>
      </c>
      <c r="G8" s="25" t="str">
        <f aca="false">IF('05 Mayo'!E9="","",'05 Mayo'!E9)</f>
        <v/>
      </c>
      <c r="H8" s="25" t="str">
        <f aca="false">IF('06 Junio'!E9="","",'06 Junio'!E9)</f>
        <v/>
      </c>
      <c r="I8" s="25" t="str">
        <f aca="false">IF('07 Julio'!E9="","",'07 Julio'!E9)</f>
        <v/>
      </c>
      <c r="J8" s="25" t="str">
        <f aca="false">IF('08 Agosto'!E9="","",'08 Agosto'!E9)</f>
        <v/>
      </c>
      <c r="K8" s="25" t="str">
        <f aca="false">IF('09 Septiembre'!E9="","",'09 Septiembre'!E9)</f>
        <v/>
      </c>
      <c r="L8" s="25" t="str">
        <f aca="false">IF('10 Octubre'!E9="","",'10 Octubre'!E9)</f>
        <v/>
      </c>
      <c r="M8" s="25" t="str">
        <f aca="false">IF('11 Noviembre'!E9="","",'11 Noviembre'!E9)</f>
        <v/>
      </c>
      <c r="N8" s="25" t="str">
        <f aca="false">IF('12 Diciembre'!E9="","",'12 Diciembre'!E9)</f>
        <v/>
      </c>
      <c r="O8" s="11" t="n">
        <f aca="false">COUNT(C8:N8)</f>
        <v>0</v>
      </c>
      <c r="P8" s="14" t="str">
        <f aca="false">IFERROR(INDEX(C8:N8,MATCH(TRUE(),INDEX(C8:N8&lt;&gt;"",0),0)),"")</f>
        <v/>
      </c>
      <c r="Q8" s="14" t="str">
        <f aca="false">IFERROR(LOOKUP(9.99E+307,C8:N8),"")</f>
        <v/>
      </c>
      <c r="R8" s="11" t="str">
        <f aca="false">IF(O8&lt;2,"—",IF(Q8=P8,"Estable",IF(Q8&gt;P8,"Mejora","Empeora")))</f>
        <v>—</v>
      </c>
    </row>
    <row r="9" customFormat="false" ht="21.75" hidden="false" customHeight="true" outlineLevel="0" collapsed="false">
      <c r="A9" s="11" t="n">
        <v>5</v>
      </c>
      <c r="B9" s="11" t="s">
        <v>58</v>
      </c>
      <c r="C9" s="28" t="str">
        <f aca="false">IF('01 Enero'!E10="","",'01 Enero'!E10)</f>
        <v/>
      </c>
      <c r="D9" s="28" t="str">
        <f aca="false">IF('02 Febrero'!E10="","",'02 Febrero'!E10)</f>
        <v/>
      </c>
      <c r="E9" s="28" t="str">
        <f aca="false">IF('03 Marzo'!E10="","",'03 Marzo'!E10)</f>
        <v/>
      </c>
      <c r="F9" s="28" t="str">
        <f aca="false">IF('04 Abril'!E10="","",'04 Abril'!E10)</f>
        <v/>
      </c>
      <c r="G9" s="28" t="str">
        <f aca="false">IF('05 Mayo'!E10="","",'05 Mayo'!E10)</f>
        <v/>
      </c>
      <c r="H9" s="28" t="str">
        <f aca="false">IF('06 Junio'!E10="","",'06 Junio'!E10)</f>
        <v/>
      </c>
      <c r="I9" s="28" t="str">
        <f aca="false">IF('07 Julio'!E10="","",'07 Julio'!E10)</f>
        <v/>
      </c>
      <c r="J9" s="28" t="str">
        <f aca="false">IF('08 Agosto'!E10="","",'08 Agosto'!E10)</f>
        <v/>
      </c>
      <c r="K9" s="28" t="str">
        <f aca="false">IF('09 Septiembre'!E10="","",'09 Septiembre'!E10)</f>
        <v/>
      </c>
      <c r="L9" s="28" t="str">
        <f aca="false">IF('10 Octubre'!E10="","",'10 Octubre'!E10)</f>
        <v/>
      </c>
      <c r="M9" s="28" t="str">
        <f aca="false">IF('11 Noviembre'!E10="","",'11 Noviembre'!E10)</f>
        <v/>
      </c>
      <c r="N9" s="28" t="str">
        <f aca="false">IF('12 Diciembre'!E10="","",'12 Diciembre'!E10)</f>
        <v/>
      </c>
      <c r="O9" s="11" t="n">
        <f aca="false">COUNT(C9:N9)</f>
        <v>0</v>
      </c>
      <c r="P9" s="21" t="str">
        <f aca="false">IFERROR(INDEX(C9:N9,MATCH(TRUE(),INDEX(C9:N9&lt;&gt;"",0),0)),"")</f>
        <v/>
      </c>
      <c r="Q9" s="21" t="str">
        <f aca="false">IFERROR(LOOKUP(9.99E+307,C9:N9),"")</f>
        <v/>
      </c>
      <c r="R9" s="11" t="str">
        <f aca="false">IF(O9&lt;2,"—",IF(Q9=P9,"Estable",IF(Q9&lt;P9,"Mejora","Empeora")))</f>
        <v>—</v>
      </c>
    </row>
    <row r="10" customFormat="false" ht="21.75" hidden="false" customHeight="true" outlineLevel="0" collapsed="false">
      <c r="A10" s="11" t="n">
        <v>6</v>
      </c>
      <c r="B10" s="11" t="s">
        <v>63</v>
      </c>
      <c r="C10" s="26" t="str">
        <f aca="false">IF('01 Enero'!E11="","",'01 Enero'!E11)</f>
        <v/>
      </c>
      <c r="D10" s="26" t="str">
        <f aca="false">IF('02 Febrero'!E11="","",'02 Febrero'!E11)</f>
        <v/>
      </c>
      <c r="E10" s="26" t="str">
        <f aca="false">IF('03 Marzo'!E11="","",'03 Marzo'!E11)</f>
        <v/>
      </c>
      <c r="F10" s="26" t="str">
        <f aca="false">IF('04 Abril'!E11="","",'04 Abril'!E11)</f>
        <v/>
      </c>
      <c r="G10" s="26" t="str">
        <f aca="false">IF('05 Mayo'!E11="","",'05 Mayo'!E11)</f>
        <v/>
      </c>
      <c r="H10" s="26" t="str">
        <f aca="false">IF('06 Junio'!E11="","",'06 Junio'!E11)</f>
        <v/>
      </c>
      <c r="I10" s="26" t="str">
        <f aca="false">IF('07 Julio'!E11="","",'07 Julio'!E11)</f>
        <v/>
      </c>
      <c r="J10" s="26" t="str">
        <f aca="false">IF('08 Agosto'!E11="","",'08 Agosto'!E11)</f>
        <v/>
      </c>
      <c r="K10" s="26" t="str">
        <f aca="false">IF('09 Septiembre'!E11="","",'09 Septiembre'!E11)</f>
        <v/>
      </c>
      <c r="L10" s="26" t="str">
        <f aca="false">IF('10 Octubre'!E11="","",'10 Octubre'!E11)</f>
        <v/>
      </c>
      <c r="M10" s="26" t="str">
        <f aca="false">IF('11 Noviembre'!E11="","",'11 Noviembre'!E11)</f>
        <v/>
      </c>
      <c r="N10" s="26" t="str">
        <f aca="false">IF('12 Diciembre'!E11="","",'12 Diciembre'!E11)</f>
        <v/>
      </c>
      <c r="O10" s="11" t="n">
        <f aca="false">COUNT(C10:N10)</f>
        <v>0</v>
      </c>
      <c r="P10" s="18" t="str">
        <f aca="false">IFERROR(INDEX(C10:N10,MATCH(TRUE(),INDEX(C10:N10&lt;&gt;"",0),0)),"")</f>
        <v/>
      </c>
      <c r="Q10" s="18" t="str">
        <f aca="false">IFERROR(LOOKUP(9.99E+307,C10:N10),"")</f>
        <v/>
      </c>
      <c r="R10" s="11" t="str">
        <f aca="false">IF(O10&lt;2,"—",IF(Q10=P10,"Estable",IF(Q10&gt;P10,"Mejora","Empeora")))</f>
        <v>—</v>
      </c>
    </row>
    <row r="11" customFormat="false" ht="21.75" hidden="false" customHeight="true" outlineLevel="0" collapsed="false">
      <c r="A11" s="11" t="n">
        <v>7</v>
      </c>
      <c r="B11" s="11" t="s">
        <v>68</v>
      </c>
      <c r="C11" s="26" t="str">
        <f aca="false">IF('01 Enero'!E12="","",'01 Enero'!E12)</f>
        <v/>
      </c>
      <c r="D11" s="26" t="str">
        <f aca="false">IF('02 Febrero'!E12="","",'02 Febrero'!E12)</f>
        <v/>
      </c>
      <c r="E11" s="26" t="str">
        <f aca="false">IF('03 Marzo'!E12="","",'03 Marzo'!E12)</f>
        <v/>
      </c>
      <c r="F11" s="26" t="str">
        <f aca="false">IF('04 Abril'!E12="","",'04 Abril'!E12)</f>
        <v/>
      </c>
      <c r="G11" s="26" t="str">
        <f aca="false">IF('05 Mayo'!E12="","",'05 Mayo'!E12)</f>
        <v/>
      </c>
      <c r="H11" s="26" t="str">
        <f aca="false">IF('06 Junio'!E12="","",'06 Junio'!E12)</f>
        <v/>
      </c>
      <c r="I11" s="26" t="str">
        <f aca="false">IF('07 Julio'!E12="","",'07 Julio'!E12)</f>
        <v/>
      </c>
      <c r="J11" s="26" t="str">
        <f aca="false">IF('08 Agosto'!E12="","",'08 Agosto'!E12)</f>
        <v/>
      </c>
      <c r="K11" s="26" t="str">
        <f aca="false">IF('09 Septiembre'!E12="","",'09 Septiembre'!E12)</f>
        <v/>
      </c>
      <c r="L11" s="26" t="str">
        <f aca="false">IF('10 Octubre'!E12="","",'10 Octubre'!E12)</f>
        <v/>
      </c>
      <c r="M11" s="26" t="str">
        <f aca="false">IF('11 Noviembre'!E12="","",'11 Noviembre'!E12)</f>
        <v/>
      </c>
      <c r="N11" s="26" t="str">
        <f aca="false">IF('12 Diciembre'!E12="","",'12 Diciembre'!E12)</f>
        <v/>
      </c>
      <c r="O11" s="11" t="n">
        <f aca="false">COUNT(C11:N11)</f>
        <v>0</v>
      </c>
      <c r="P11" s="18" t="str">
        <f aca="false">IFERROR(INDEX(C11:N11,MATCH(TRUE(),INDEX(C11:N11&lt;&gt;"",0),0)),"")</f>
        <v/>
      </c>
      <c r="Q11" s="18" t="str">
        <f aca="false">IFERROR(LOOKUP(9.99E+307,C11:N11),"")</f>
        <v/>
      </c>
      <c r="R11" s="11" t="str">
        <f aca="false">IF(O11&lt;2,"—",IF(Q11=P11,"Estable",IF(Q11&gt;P11,"Mejora","Empeora")))</f>
        <v>—</v>
      </c>
    </row>
    <row r="12" customFormat="false" ht="21.75" hidden="false" customHeight="true" outlineLevel="0" collapsed="false">
      <c r="A12" s="11" t="n">
        <v>8</v>
      </c>
      <c r="B12" s="11" t="s">
        <v>73</v>
      </c>
      <c r="C12" s="26" t="str">
        <f aca="false">IF('01 Enero'!E13="","",'01 Enero'!E13)</f>
        <v/>
      </c>
      <c r="D12" s="26" t="str">
        <f aca="false">IF('02 Febrero'!E13="","",'02 Febrero'!E13)</f>
        <v/>
      </c>
      <c r="E12" s="26" t="str">
        <f aca="false">IF('03 Marzo'!E13="","",'03 Marzo'!E13)</f>
        <v/>
      </c>
      <c r="F12" s="26" t="str">
        <f aca="false">IF('04 Abril'!E13="","",'04 Abril'!E13)</f>
        <v/>
      </c>
      <c r="G12" s="26" t="str">
        <f aca="false">IF('05 Mayo'!E13="","",'05 Mayo'!E13)</f>
        <v/>
      </c>
      <c r="H12" s="26" t="str">
        <f aca="false">IF('06 Junio'!E13="","",'06 Junio'!E13)</f>
        <v/>
      </c>
      <c r="I12" s="26" t="str">
        <f aca="false">IF('07 Julio'!E13="","",'07 Julio'!E13)</f>
        <v/>
      </c>
      <c r="J12" s="26" t="str">
        <f aca="false">IF('08 Agosto'!E13="","",'08 Agosto'!E13)</f>
        <v/>
      </c>
      <c r="K12" s="26" t="str">
        <f aca="false">IF('09 Septiembre'!E13="","",'09 Septiembre'!E13)</f>
        <v/>
      </c>
      <c r="L12" s="26" t="str">
        <f aca="false">IF('10 Octubre'!E13="","",'10 Octubre'!E13)</f>
        <v/>
      </c>
      <c r="M12" s="26" t="str">
        <f aca="false">IF('11 Noviembre'!E13="","",'11 Noviembre'!E13)</f>
        <v/>
      </c>
      <c r="N12" s="26" t="str">
        <f aca="false">IF('12 Diciembre'!E13="","",'12 Diciembre'!E13)</f>
        <v/>
      </c>
      <c r="O12" s="11" t="n">
        <f aca="false">COUNT(C12:N12)</f>
        <v>0</v>
      </c>
      <c r="P12" s="18" t="str">
        <f aca="false">IFERROR(INDEX(C12:N12,MATCH(TRUE(),INDEX(C12:N12&lt;&gt;"",0),0)),"")</f>
        <v/>
      </c>
      <c r="Q12" s="18" t="str">
        <f aca="false">IFERROR(LOOKUP(9.99E+307,C12:N12),"")</f>
        <v/>
      </c>
      <c r="R12" s="11" t="str">
        <f aca="false">IF(O12&lt;2,"—",IF(Q12=P12,"Estable",IF(Q12&gt;P12,"Mejora","Empeora")))</f>
        <v>—</v>
      </c>
    </row>
    <row r="13" customFormat="false" ht="21.75" hidden="false" customHeight="true" outlineLevel="0" collapsed="false">
      <c r="A13" s="11" t="n">
        <v>9</v>
      </c>
      <c r="B13" s="11" t="s">
        <v>76</v>
      </c>
      <c r="C13" s="26" t="str">
        <f aca="false">IF('01 Enero'!E14="","",'01 Enero'!E14)</f>
        <v/>
      </c>
      <c r="D13" s="26" t="str">
        <f aca="false">IF('02 Febrero'!E14="","",'02 Febrero'!E14)</f>
        <v/>
      </c>
      <c r="E13" s="26" t="str">
        <f aca="false">IF('03 Marzo'!E14="","",'03 Marzo'!E14)</f>
        <v/>
      </c>
      <c r="F13" s="26" t="str">
        <f aca="false">IF('04 Abril'!E14="","",'04 Abril'!E14)</f>
        <v/>
      </c>
      <c r="G13" s="26" t="str">
        <f aca="false">IF('05 Mayo'!E14="","",'05 Mayo'!E14)</f>
        <v/>
      </c>
      <c r="H13" s="26" t="str">
        <f aca="false">IF('06 Junio'!E14="","",'06 Junio'!E14)</f>
        <v/>
      </c>
      <c r="I13" s="26" t="str">
        <f aca="false">IF('07 Julio'!E14="","",'07 Julio'!E14)</f>
        <v/>
      </c>
      <c r="J13" s="26" t="str">
        <f aca="false">IF('08 Agosto'!E14="","",'08 Agosto'!E14)</f>
        <v/>
      </c>
      <c r="K13" s="26" t="str">
        <f aca="false">IF('09 Septiembre'!E14="","",'09 Septiembre'!E14)</f>
        <v/>
      </c>
      <c r="L13" s="26" t="str">
        <f aca="false">IF('10 Octubre'!E14="","",'10 Octubre'!E14)</f>
        <v/>
      </c>
      <c r="M13" s="26" t="str">
        <f aca="false">IF('11 Noviembre'!E14="","",'11 Noviembre'!E14)</f>
        <v/>
      </c>
      <c r="N13" s="26" t="str">
        <f aca="false">IF('12 Diciembre'!E14="","",'12 Diciembre'!E14)</f>
        <v/>
      </c>
      <c r="O13" s="11" t="n">
        <f aca="false">COUNT(C13:N13)</f>
        <v>0</v>
      </c>
      <c r="P13" s="18" t="str">
        <f aca="false">IFERROR(INDEX(C13:N13,MATCH(TRUE(),INDEX(C13:N13&lt;&gt;"",0),0)),"")</f>
        <v/>
      </c>
      <c r="Q13" s="18" t="str">
        <f aca="false">IFERROR(LOOKUP(9.99E+307,C13:N13),"")</f>
        <v/>
      </c>
      <c r="R13" s="11" t="str">
        <f aca="false">IF(O13&lt;2,"—",IF(Q13=P13,"Estable",IF(Q13&gt;P13,"Mejora","Empeora")))</f>
        <v>—</v>
      </c>
    </row>
    <row r="14" customFormat="false" ht="21.75" hidden="false" customHeight="true" outlineLevel="0" collapsed="false">
      <c r="A14" s="11" t="n">
        <v>10</v>
      </c>
      <c r="B14" s="11" t="s">
        <v>81</v>
      </c>
      <c r="C14" s="25" t="str">
        <f aca="false">IF('01 Enero'!E15="","",'01 Enero'!E15)</f>
        <v/>
      </c>
      <c r="D14" s="25" t="str">
        <f aca="false">IF('02 Febrero'!E15="","",'02 Febrero'!E15)</f>
        <v/>
      </c>
      <c r="E14" s="25" t="str">
        <f aca="false">IF('03 Marzo'!E15="","",'03 Marzo'!E15)</f>
        <v/>
      </c>
      <c r="F14" s="25" t="str">
        <f aca="false">IF('04 Abril'!E15="","",'04 Abril'!E15)</f>
        <v/>
      </c>
      <c r="G14" s="25" t="str">
        <f aca="false">IF('05 Mayo'!E15="","",'05 Mayo'!E15)</f>
        <v/>
      </c>
      <c r="H14" s="25" t="str">
        <f aca="false">IF('06 Junio'!E15="","",'06 Junio'!E15)</f>
        <v/>
      </c>
      <c r="I14" s="25" t="str">
        <f aca="false">IF('07 Julio'!E15="","",'07 Julio'!E15)</f>
        <v/>
      </c>
      <c r="J14" s="25" t="str">
        <f aca="false">IF('08 Agosto'!E15="","",'08 Agosto'!E15)</f>
        <v/>
      </c>
      <c r="K14" s="25" t="str">
        <f aca="false">IF('09 Septiembre'!E15="","",'09 Septiembre'!E15)</f>
        <v/>
      </c>
      <c r="L14" s="25" t="str">
        <f aca="false">IF('10 Octubre'!E15="","",'10 Octubre'!E15)</f>
        <v/>
      </c>
      <c r="M14" s="25" t="str">
        <f aca="false">IF('11 Noviembre'!E15="","",'11 Noviembre'!E15)</f>
        <v/>
      </c>
      <c r="N14" s="25" t="str">
        <f aca="false">IF('12 Diciembre'!E15="","",'12 Diciembre'!E15)</f>
        <v/>
      </c>
      <c r="O14" s="11" t="n">
        <f aca="false">COUNT(C14:N14)</f>
        <v>0</v>
      </c>
      <c r="P14" s="14" t="str">
        <f aca="false">IFERROR(INDEX(C14:N14,MATCH(TRUE(),INDEX(C14:N14&lt;&gt;"",0),0)),"")</f>
        <v/>
      </c>
      <c r="Q14" s="14" t="str">
        <f aca="false">IFERROR(LOOKUP(9.99E+307,C14:N14),"")</f>
        <v/>
      </c>
      <c r="R14" s="11" t="str">
        <f aca="false">IF(O14&lt;2,"—",IF(Q14=P14,"Estable",IF(Q14&gt;P14,"Mejora","Empeora")))</f>
        <v>—</v>
      </c>
    </row>
    <row r="16" customFormat="false" ht="15" hidden="false" customHeight="false" outlineLevel="0" collapsed="false">
      <c r="B16" s="2"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3" min="3" style="0" width="18"/>
    <col collapsed="false" customWidth="true" hidden="false" outlineLevel="0" max="4" min="4" style="0" width="14"/>
    <col collapsed="false" customWidth="true" hidden="false" outlineLevel="0" max="5" min="5" style="0" width="58"/>
  </cols>
  <sheetData>
    <row r="1" customFormat="false" ht="17.35" hidden="false" customHeight="false" outlineLevel="0" collapsed="false">
      <c r="A1" s="1" t="s">
        <v>128</v>
      </c>
    </row>
    <row r="2" customFormat="false" ht="15" hidden="false" customHeight="false" outlineLevel="0" collapsed="false">
      <c r="A2" s="2" t="s">
        <v>129</v>
      </c>
    </row>
    <row r="4" customFormat="false" ht="15" hidden="false" customHeight="false" outlineLevel="0" collapsed="false">
      <c r="B4" s="3" t="s">
        <v>130</v>
      </c>
    </row>
    <row r="5" customFormat="false" ht="15" hidden="false" customHeight="false" outlineLevel="0" collapsed="false">
      <c r="B5" s="5" t="s">
        <v>131</v>
      </c>
      <c r="C5" s="29"/>
      <c r="E5" s="2" t="s">
        <v>132</v>
      </c>
    </row>
    <row r="6" customFormat="false" ht="15" hidden="false" customHeight="false" outlineLevel="0" collapsed="false">
      <c r="B6" s="5" t="s">
        <v>133</v>
      </c>
      <c r="C6" s="30" t="n">
        <v>0.4</v>
      </c>
      <c r="E6" s="2" t="s">
        <v>134</v>
      </c>
    </row>
    <row r="7" customFormat="false" ht="15" hidden="false" customHeight="false" outlineLevel="0" collapsed="false">
      <c r="B7" s="5" t="s">
        <v>135</v>
      </c>
      <c r="C7" s="29" t="n">
        <v>1800</v>
      </c>
      <c r="E7" s="2" t="s">
        <v>136</v>
      </c>
    </row>
    <row r="8" customFormat="false" ht="15" hidden="false" customHeight="false" outlineLevel="0" collapsed="false">
      <c r="B8" s="5" t="s">
        <v>63</v>
      </c>
      <c r="C8" s="31" t="n">
        <v>0.45</v>
      </c>
      <c r="E8" s="2" t="s">
        <v>137</v>
      </c>
    </row>
    <row r="9" customFormat="false" ht="15" hidden="false" customHeight="false" outlineLevel="0" collapsed="false">
      <c r="B9" s="5" t="s">
        <v>138</v>
      </c>
      <c r="C9" s="32" t="n">
        <v>21</v>
      </c>
      <c r="E9" s="2" t="s">
        <v>139</v>
      </c>
    </row>
    <row r="10" customFormat="false" ht="15" hidden="false" customHeight="false" outlineLevel="0" collapsed="false">
      <c r="B10" s="5" t="s">
        <v>140</v>
      </c>
      <c r="C10" s="29"/>
      <c r="E10" s="2" t="s">
        <v>141</v>
      </c>
    </row>
    <row r="11" customFormat="false" ht="15" hidden="false" customHeight="false" outlineLevel="0" collapsed="false">
      <c r="B11" s="5" t="s">
        <v>142</v>
      </c>
      <c r="C11" s="29"/>
      <c r="E11" s="2" t="s">
        <v>143</v>
      </c>
    </row>
    <row r="14" customFormat="false" ht="15" hidden="false" customHeight="false" outlineLevel="0" collapsed="false">
      <c r="B14" s="3" t="s">
        <v>144</v>
      </c>
    </row>
    <row r="15" customFormat="false" ht="19.5" hidden="false" customHeight="true" outlineLevel="0" collapsed="false">
      <c r="B15" s="3" t="s">
        <v>145</v>
      </c>
      <c r="C15" s="21" t="str">
        <f aca="false">IF(C5="","pendiente",C5)</f>
        <v>pendiente</v>
      </c>
      <c r="E15" s="2" t="s">
        <v>146</v>
      </c>
    </row>
    <row r="16" customFormat="false" ht="19.5" hidden="false" customHeight="true" outlineLevel="0" collapsed="false">
      <c r="B16" s="3" t="s">
        <v>147</v>
      </c>
      <c r="C16" s="21" t="str">
        <f aca="false">IF(OR(C5="",C6=0),"pendiente",C5/C6)</f>
        <v>pendiente</v>
      </c>
      <c r="E16" s="2" t="s">
        <v>148</v>
      </c>
    </row>
    <row r="17" customFormat="false" ht="19.5" hidden="false" customHeight="true" outlineLevel="0" collapsed="false">
      <c r="B17" s="3" t="s">
        <v>149</v>
      </c>
      <c r="C17" s="33" t="str">
        <f aca="false">IF(OR(C15="",C16="pendiente",C7=0,C8=0,C9=0),"pendiente",C16/(C8*C7)/C9)</f>
        <v>pendiente</v>
      </c>
      <c r="E17" s="2" t="s">
        <v>150</v>
      </c>
    </row>
    <row r="18" customFormat="false" ht="19.5" hidden="false" customHeight="true" outlineLevel="0" collapsed="false">
      <c r="B18" s="3" t="s">
        <v>151</v>
      </c>
      <c r="C18" s="21" t="str">
        <f aca="false">IF(C11="","pendiente",C11)</f>
        <v>pendiente</v>
      </c>
      <c r="E18" s="2" t="s">
        <v>152</v>
      </c>
    </row>
    <row r="19" customFormat="false" ht="19.5" hidden="false" customHeight="true" outlineLevel="0" collapsed="false">
      <c r="B19" s="3" t="s">
        <v>153</v>
      </c>
      <c r="C19" s="33" t="str">
        <f aca="false">IF(OR(C10="",C5="",C5=0),"pendiente",C10/C5)</f>
        <v>pendiente</v>
      </c>
      <c r="E19" s="2" t="s">
        <v>154</v>
      </c>
    </row>
    <row r="21" customFormat="false" ht="15" hidden="false" customHeight="false" outlineLevel="0" collapsed="false">
      <c r="B21" s="2"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Uso interno y confidencial</cp:category>
  <dcterms:created xsi:type="dcterms:W3CDTF">2026-01-01T00:00:00Z</dcterms:created>
  <dc:creator>Centro de Excelencia Implantológica Alma</dc:creator>
  <dc:description>Instrumento del apartado 7 y del apartado 13. Uso interno. Una hoja por mes, resumen anual y los cinco números. Versión v28.0 del sistema documental.</dc:description>
  <dc:language>es-ES</dc:language>
  <cp:lastModifiedBy>Centro de Excelencia Implantológica Alma</cp:lastModifiedBy>
  <dcterms:modified xsi:type="dcterms:W3CDTF">2026-01-01T00:00:00Z</dcterms:modified>
  <cp:revision>0</cp:revision>
  <dc:subject>Los diez indicadores del apartado 13 del Plan de Dirección</dc:subject>
  <dc:title>Los números del centro · 2026</dc:title>
</cp:coreProperties>
</file>

<file path=docProps/custom.xml><?xml version="1.0" encoding="utf-8"?>
<Properties xmlns="http://schemas.openxmlformats.org/officeDocument/2006/custom-properties" xmlns:vt="http://schemas.openxmlformats.org/officeDocument/2006/docPropsVTypes"/>
</file>