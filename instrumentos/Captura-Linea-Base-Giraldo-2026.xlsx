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strucciones" sheetId="1" state="visible" r:id="rId3"/>
    <sheet name="Definiciones" sheetId="2" state="visible" r:id="rId4"/>
    <sheet name="01 Enero" sheetId="3" state="visible" r:id="rId5"/>
    <sheet name="02 Febrero" sheetId="4" state="visible" r:id="rId6"/>
    <sheet name="03 Marzo" sheetId="5" state="visible" r:id="rId7"/>
    <sheet name="04 Abril" sheetId="6" state="visible" r:id="rId8"/>
    <sheet name="05 Mayo" sheetId="7" state="visible" r:id="rId9"/>
    <sheet name="06 Junio" sheetId="8" state="visible" r:id="rId10"/>
    <sheet name="07 Julio" sheetId="9" state="visible" r:id="rId11"/>
    <sheet name="08 Agosto" sheetId="10" state="visible" r:id="rId12"/>
    <sheet name="09 Septiembre" sheetId="11" state="visible" r:id="rId13"/>
    <sheet name="10 Octubre" sheetId="12" state="visible" r:id="rId14"/>
    <sheet name="11 Noviembre" sheetId="13" state="visible" r:id="rId15"/>
    <sheet name="12 Diciembre" sheetId="14" state="visible" r:id="rId16"/>
    <sheet name="Resumen anual" sheetId="15" state="visible" r:id="rId17"/>
    <sheet name="Los cinco número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<sst xmlns="http://schemas.openxmlformats.org/spreadsheetml/2006/main" count="594" uniqueCount="156">
  <si>
    <t xml:space="preserve">Captura de la línea base · Centro de Excelencia Implantológica Giraldo</t>
  </si>
  <si>
    <t xml:space="preserve">Instrumento del §7 y del §13 de la Tesis de Dirección v7.0 · Ejercicio 2026</t>
  </si>
  <si>
    <t xml:space="preserve">Para qué sirve</t>
  </si>
  <si>
    <t xml:space="preserve">La Tesis declara que el centro no dispone todavía de sus cinco números ni de serie propia en ninguno de los diez indicadores. Este libro es el instrumento para conseguirlos: se rellena una hoja al mes y el resumen anual y el semáforo se calculan solos.</t>
  </si>
  <si>
    <t xml:space="preserve">Qué se teclea</t>
  </si>
  <si>
    <t xml:space="preserve">Solo las celdas con fondo amarillo y cifra azul. Todo lo demás son fórmulas: no se sobrescriben.</t>
  </si>
  <si>
    <t xml:space="preserve">Código de color</t>
  </si>
  <si>
    <t xml:space="preserve">Azul sobre amarillo = dato que introduce el centro · Negro = calculado · Verde = viene de otra hoja.</t>
  </si>
  <si>
    <t xml:space="preserve">La regla de reporte</t>
  </si>
  <si>
    <t xml:space="preserve">Un indicador sin dato se reporta en rojo, no en blanco. El semáforo lo hace automáticamente: mientras no haya cifra, la casilla dice SIN DATO y cuenta como roja en la revisión de Junta.</t>
  </si>
  <si>
    <t xml:space="preserve">El indicador 6</t>
  </si>
  <si>
    <t xml:space="preserve">Tiene cohorte cerrada: el dato de un mes no es definitivo hasta sesenta días después. Se anota provisional y se corrige en la revisión siguiente. La columna «Estado del dato» sirve para eso.</t>
  </si>
  <si>
    <t xml:space="preserve">Umbrales</t>
  </si>
  <si>
    <t xml:space="preserve">Están en la hoja Definiciones y son supuestos de trabajo, no objetivos aprobados. Se cambian ahí una sola vez y todas las hojas mensuales los recogen.</t>
  </si>
  <si>
    <t xml:space="preserve">Los cinco números</t>
  </si>
  <si>
    <t xml:space="preserve">Tienen hoja propia. Son la prioridad: sin ellos cualquier objetivo comercial es una opinión.</t>
  </si>
  <si>
    <t xml:space="preserve">Ejemplo</t>
  </si>
  <si>
    <t xml:space="preserve">La hoja «01 Enero» viene con una fila de ejemplo en gris al pie, para mostrar el formato esperado. Bórrese antes de usarla.</t>
  </si>
  <si>
    <t xml:space="preserve">Hojas del libro</t>
  </si>
  <si>
    <t xml:space="preserve">Definiciones</t>
  </si>
  <si>
    <t xml:space="preserve">El diccionario de los diez indicadores y los umbrales editables</t>
  </si>
  <si>
    <t xml:space="preserve">01 a 12 · meses</t>
  </si>
  <si>
    <t xml:space="preserve">Una hoja de captura por mes, con semáforo automático</t>
  </si>
  <si>
    <t xml:space="preserve">Resumen anual</t>
  </si>
  <si>
    <t xml:space="preserve">Los doce meses en una sola rejilla, con tendencia y meses con dato</t>
  </si>
  <si>
    <t xml:space="preserve">Costes fijos, equilibrio, primeras visitas necesarias, producto pendiente y colchón</t>
  </si>
  <si>
    <t xml:space="preserve">Diccionario de indicadores</t>
  </si>
  <si>
    <t xml:space="preserve">Definición operativa acordada. Cambiar aquí un umbral lo cambia en las doce hojas mensuales. Los umbrales son supuestos de trabajo, no objetivos aprobados por la Junta.</t>
  </si>
  <si>
    <t xml:space="preserve">#</t>
  </si>
  <si>
    <t xml:space="preserve">Indicador</t>
  </si>
  <si>
    <t xml:space="preserve">Numerador</t>
  </si>
  <si>
    <t xml:space="preserve">Denominador</t>
  </si>
  <si>
    <t xml:space="preserve">Umbral publicado</t>
  </si>
  <si>
    <t xml:space="preserve">Sentido</t>
  </si>
  <si>
    <t xml:space="preserve">Verde si</t>
  </si>
  <si>
    <t xml:space="preserve">Ámbar si</t>
  </si>
  <si>
    <t xml:space="preserve">Qué queda fuera</t>
  </si>
  <si>
    <t xml:space="preserve">Verificaciones regulatorias cerradas</t>
  </si>
  <si>
    <t xml:space="preserve">Verificaciones V1–V11 con evidencia archivada</t>
  </si>
  <si>
    <t xml:space="preserve">11 (fijo)</t>
  </si>
  <si>
    <t xml:space="preserve">11 de 11</t>
  </si>
  <si>
    <t xml:space="preserve">mayor</t>
  </si>
  <si>
    <t xml:space="preserve">Nada: una verificación en trámite cuenta como no cerrada</t>
  </si>
  <si>
    <t xml:space="preserve">Bajas voluntarias del equipo</t>
  </si>
  <si>
    <t xml:space="preserve">Ceses a instancia de la persona trabajadora</t>
  </si>
  <si>
    <t xml:space="preserve">Plantilla media del mes</t>
  </si>
  <si>
    <t xml:space="preserve">0</t>
  </si>
  <si>
    <t xml:space="preserve">menor</t>
  </si>
  <si>
    <t xml:space="preserve">Fin de contrato temporal previsto e incapacidades temporales</t>
  </si>
  <si>
    <t xml:space="preserve">Reclamaciones de pacientes heredados</t>
  </si>
  <si>
    <t xml:space="preserve">Reclamaciones formales del mes</t>
  </si>
  <si>
    <t xml:space="preserve">—</t>
  </si>
  <si>
    <t xml:space="preserve">Quejas verbales resueltas en el acto y registradas como incidencia de nivel 1</t>
  </si>
  <si>
    <t xml:space="preserve">Documentación digitalizada el mismo día</t>
  </si>
  <si>
    <t xml:space="preserve">Actos con historia, consentimiento e imágenes en el día</t>
  </si>
  <si>
    <t xml:space="preserve">Actos clínicos del día</t>
  </si>
  <si>
    <t xml:space="preserve">100 %</t>
  </si>
  <si>
    <t xml:space="preserve">Nada</t>
  </si>
  <si>
    <t xml:space="preserve">Producto pendiente</t>
  </si>
  <si>
    <t xml:space="preserve">Importe aceptado y no terminado a fin de mes</t>
  </si>
  <si>
    <t xml:space="preserve">Descendente</t>
  </si>
  <si>
    <t xml:space="preserve">descendente</t>
  </si>
  <si>
    <t xml:space="preserve">Presupuestos presentados y no aceptados</t>
  </si>
  <si>
    <t xml:space="preserve">Tasa de conversión de la primera visita</t>
  </si>
  <si>
    <t xml:space="preserve">PV del mes aceptadas y pagadas en 60 días</t>
  </si>
  <si>
    <t xml:space="preserve">Primeras visitas del mes</t>
  </si>
  <si>
    <t xml:space="preserve">Línea base y mejora</t>
  </si>
  <si>
    <t xml:space="preserve">Urgencias, segundas opiniones y derivaciones a otro centro por criterio clínico</t>
  </si>
  <si>
    <t xml:space="preserve">Pacientes en mantenimiento activo</t>
  </si>
  <si>
    <t xml:space="preserve">Con revisión en 12 meses y próxima cita agendada</t>
  </si>
  <si>
    <t xml:space="preserve">Pacientes con implantes del centro</t>
  </si>
  <si>
    <t xml:space="preserve">Creciente</t>
  </si>
  <si>
    <t xml:space="preserve">Pacientes con cita agendada pero sin ninguna asistencia en 12 meses</t>
  </si>
  <si>
    <t xml:space="preserve">Captación por recomendación</t>
  </si>
  <si>
    <t xml:space="preserve">PV cuyo origen declarado es la recomendación</t>
  </si>
  <si>
    <t xml:space="preserve">Nada: el origen «no consta» permanece en el denominador</t>
  </si>
  <si>
    <t xml:space="preserve">Ofrecimiento del programa de cuidado</t>
  </si>
  <si>
    <t xml:space="preserve">Cierres con ofrecimiento registrado</t>
  </si>
  <si>
    <t xml:space="preserve">Cierres de tratamiento del mes</t>
  </si>
  <si>
    <t xml:space="preserve">90 %</t>
  </si>
  <si>
    <t xml:space="preserve">Nada: se mide el ofrecimiento, no la contratación</t>
  </si>
  <si>
    <t xml:space="preserve">Auditorías ejecutadas en fecha</t>
  </si>
  <si>
    <t xml:space="preserve">Auditorías realizadas con resultado registrado</t>
  </si>
  <si>
    <t xml:space="preserve">Auditorías programadas</t>
  </si>
  <si>
    <t xml:space="preserve">Nada: una auditoría sin registro cuenta como no realizada</t>
  </si>
  <si>
    <t xml:space="preserve">Los umbrales de las columnas G y H son los únicos valores editables de esta hoja.</t>
  </si>
  <si>
    <t xml:space="preserve">Captura mensual · Enero de 2026</t>
  </si>
  <si>
    <t xml:space="preserve">Rellénense únicamente las casillas amarillas. El resultado y el semáforo se calculan solos.</t>
  </si>
  <si>
    <t xml:space="preserve">Resultado</t>
  </si>
  <si>
    <t xml:space="preserve">Umbral</t>
  </si>
  <si>
    <t xml:space="preserve">Estado</t>
  </si>
  <si>
    <t xml:space="preserve">Estado del dato</t>
  </si>
  <si>
    <t xml:space="preserve">Notas</t>
  </si>
  <si>
    <t xml:space="preserve">Provisional</t>
  </si>
  <si>
    <t xml:space="preserve">El indicador 5 se compara con el mes anterior: la casilla dice COMPARAR porque el sentido «descendente» exige mirar la serie, no un umbral fijo.</t>
  </si>
  <si>
    <t xml:space="preserve">Un indicador en SIN DATO cuenta como rojo en la revisión de Junta.</t>
  </si>
  <si>
    <t xml:space="preserve">EJEMPLO — bórrese antes de usar la hoja</t>
  </si>
  <si>
    <t xml:space="preserve">38 de 84 primeras visitas aceptadas y pagadas dentro de los 60 días</t>
  </si>
  <si>
    <t xml:space="preserve">Captura mensual · Febrero de 2026</t>
  </si>
  <si>
    <t xml:space="preserve">Captura mensual · Marzo de 2026</t>
  </si>
  <si>
    <t xml:space="preserve">Captura mensual · Abril de 2026</t>
  </si>
  <si>
    <t xml:space="preserve">Captura mensual · Mayo de 2026</t>
  </si>
  <si>
    <t xml:space="preserve">Captura mensual · Junio de 2026</t>
  </si>
  <si>
    <t xml:space="preserve">Captura mensual · Julio de 2026</t>
  </si>
  <si>
    <t xml:space="preserve">Captura mensual · Agosto de 2026</t>
  </si>
  <si>
    <t xml:space="preserve">Captura mensual · Septiembre de 2026</t>
  </si>
  <si>
    <t xml:space="preserve">Captura mensual · Octubre de 2026</t>
  </si>
  <si>
    <t xml:space="preserve">Captura mensual · Noviembre de 2026</t>
  </si>
  <si>
    <t xml:space="preserve">Captura mensual · Diciembre de 2026</t>
  </si>
  <si>
    <t xml:space="preserve">Resumen anual · los doce meses en una rejilla</t>
  </si>
  <si>
    <t xml:space="preserve">Todo se recoge de las hojas mensuales. «Meses con dato» es la medida honesta de cuánto sabemos realmente: la Junta debe exigir que llegue a doce.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</si>
  <si>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</si>
  <si>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</si>
  <si>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</si>
  <si>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</si>
  <si>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</si>
  <si>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</si>
  <si>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</si>
  <si>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</si>
  <si>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</si>
  <si>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</si>
  <si>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</si>
  <si>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</si>
  <si>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Meses con dato</t>
  </si>
  <si>
    <t xml:space="preserve">Primero</t>
  </si>
  <si>
    <t xml:space="preserve">Último</t>
  </si>
  <si>
    <t xml:space="preserve">Tendencia</t>
  </si>
  <si>
    <t xml:space="preserve">El indicador 5 mide euros, no porcentaje: su tendencia «Mejora» significa que el producto pendiente baja.</t>
  </si>
  <si>
    <t xml:space="preserve">Los cinco números que aún no tenemos</t>
  </si>
  <si>
    <t xml:space="preserve">§7 de la Tesis. Rellénense las casillas amarillas; los cinco resultados se calculan solos. Hasta que estén, cualquier objetivo comercial es una opinión.</t>
  </si>
  <si>
    <t xml:space="preserve">Entradas</t>
  </si>
  <si>
    <t xml:space="preserve">Costes fijos mensuales</t>
  </si>
  <si>
    <t xml:space="preserve">Nóminas, alquiler, suministros, seguros, cuotas y amortizaciones. Día 15.</t>
  </si>
  <si>
    <t xml:space="preserve">Margen de contribución sobre venta</t>
  </si>
  <si>
    <t xml:space="preserve">Supuesto de trabajo del §18 mientras no haya escandallo propio.</t>
  </si>
  <si>
    <t xml:space="preserve">Ticket medio del caso aceptado</t>
  </si>
  <si>
    <t xml:space="preserve">Supuesto de trabajo del §18. Se sustituye por el real.</t>
  </si>
  <si>
    <t xml:space="preserve">Enlaza con el indicador 6 en cuanto haya tres meses de serie.</t>
  </si>
  <si>
    <t xml:space="preserve">Días laborables al mes</t>
  </si>
  <si>
    <t xml:space="preserve">Parámetro de capacidad.</t>
  </si>
  <si>
    <t xml:space="preserve">Tesorería disponible</t>
  </si>
  <si>
    <t xml:space="preserve">Saldo libre de compromisos a fecha de corte. Día 21.</t>
  </si>
  <si>
    <t xml:space="preserve">Producto pendiente heredado</t>
  </si>
  <si>
    <t xml:space="preserve">Importe cobrado o comprometido y no ejecutado. Día 15.</t>
  </si>
  <si>
    <t xml:space="preserve">Resultados</t>
  </si>
  <si>
    <t xml:space="preserve">1 · Costes fijos mensuales</t>
  </si>
  <si>
    <t xml:space="preserve">El primero de los cinco. Sin él no hay ninguno de los demás.</t>
  </si>
  <si>
    <t xml:space="preserve">2 · Punto de equilibrio mensual</t>
  </si>
  <si>
    <t xml:space="preserve">Facturación mensual necesaria para cubrir los costes fijos, dado el margen de contribución.</t>
  </si>
  <si>
    <t xml:space="preserve">3 · Primeras visitas necesarias al día</t>
  </si>
  <si>
    <t xml:space="preserve">Cuántas primeras visitas diarias hacen falta para llegar al equilibrio con la conversión y el ticket actuales.</t>
  </si>
  <si>
    <t xml:space="preserve">4 · Producto pendiente heredado</t>
  </si>
  <si>
    <t xml:space="preserve">Caja ya cobrada que hay que convertir en producción. Es la palanca 1 del §14.</t>
  </si>
  <si>
    <t xml:space="preserve">5 · Meses de colchón de tesorería</t>
  </si>
  <si>
    <t xml:space="preserve">Cuántos meses aguanta el centro sin ingresar nada. Por debajo de tres, es un riesgo de Junta.</t>
  </si>
  <si>
    <t xml:space="preserve">Los resultados dicen «pendiente» mientras falte alguna entrada. Es deliberado: un número inventado es peor que un hueco declarado.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</si>
</sst>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0.0%"/>
    <numFmt numFmtId="167" formatCode="0.00"/>
    <numFmt numFmtId="168" formatCode="#,##0.##"/>
    <numFmt numFmtId="169" formatCode="0"/>
    <numFmt numFmtId="170" formatCode="#,##0&quot; €&quot;"/>
    <numFmt numFmtId="171" formatCode="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A20"/>
      <name val="Arial"/>
      <family val="0"/>
      <charset val="1"/>
    </font>
    <font>
      <sz val="9"/>
      <color rgb="FF5D7178"/>
      <name val="Arial"/>
      <family val="0"/>
      <charset val="1"/>
    </font>
    <font>
      <b val="true"/>
      <sz val="10"/>
      <color rgb="FF0B1A20"/>
      <name val="Arial"/>
      <family val="0"/>
      <charset val="1"/>
    </font>
    <font>
      <sz val="10"/>
      <color rgb="FF0B1A2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8A5015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B1A2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2F4F1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AD6"/>
      </left>
      <right style="thin">
        <color rgb="FFD5DAD6"/>
      </right>
      <top style="thin">
        <color rgb="FFD5DAD6"/>
      </top>
      <bottom style="thin">
        <color rgb="FFD5DA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4F1"/>
      <rgbColor rgb="FFCCFFFF"/>
      <rgbColor rgb="FF660066"/>
      <rgbColor rgb="FFFF8080"/>
      <rgbColor rgb="FF0066CC"/>
      <rgbColor rgb="FFD5DA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7178"/>
      <rgbColor rgb="FF969696"/>
      <rgbColor rgb="FF003366"/>
      <rgbColor rgb="FF339966"/>
      <rgbColor rgb="FF0B1A20"/>
      <rgbColor rgb="FF333300"/>
      <rgbColor rgb="FF8A5015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96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30" hidden="false" customHeight="true" outlineLevel="0" collapsed="false">
      <c r="B5" s="3" t="s">
        <v>2</v>
      </c>
      <c r="C5" s="4" t="s">
        <v>3</v>
      </c>
    </row>
    <row r="6" customFormat="false" ht="30" hidden="false" customHeight="true" outlineLevel="0" collapsed="false">
      <c r="B6" s="3" t="s">
        <v>4</v>
      </c>
      <c r="C6" s="4" t="s">
        <v>5</v>
      </c>
    </row>
    <row r="7" customFormat="false" ht="30" hidden="false" customHeight="true" outlineLevel="0" collapsed="false">
      <c r="B7" s="3" t="s">
        <v>6</v>
      </c>
      <c r="C7" s="4" t="s">
        <v>7</v>
      </c>
    </row>
    <row r="8" customFormat="false" ht="30" hidden="false" customHeight="true" outlineLevel="0" collapsed="false">
      <c r="B8" s="3" t="s">
        <v>8</v>
      </c>
      <c r="C8" s="4" t="s">
        <v>9</v>
      </c>
    </row>
    <row r="9" customFormat="false" ht="30" hidden="false" customHeight="true" outlineLevel="0" collapsed="false">
      <c r="B9" s="3" t="s">
        <v>10</v>
      </c>
      <c r="C9" s="4" t="s">
        <v>11</v>
      </c>
    </row>
    <row r="10" customFormat="false" ht="30" hidden="false" customHeight="true" outlineLevel="0" collapsed="false">
      <c r="B10" s="3" t="s">
        <v>12</v>
      </c>
      <c r="C10" s="4" t="s">
        <v>13</v>
      </c>
    </row>
    <row r="11" customFormat="false" ht="30" hidden="false" customHeight="true" outlineLevel="0" collapsed="false">
      <c r="B11" s="3" t="s">
        <v>14</v>
      </c>
      <c r="C11" s="4" t="s">
        <v>15</v>
      </c>
    </row>
    <row r="12" customFormat="false" ht="30" hidden="false" customHeight="true" outlineLevel="0" collapsed="false">
      <c r="B12" s="3" t="s">
        <v>16</v>
      </c>
      <c r="C12" s="4" t="s">
        <v>17</v>
      </c>
    </row>
    <row r="14" customFormat="false" ht="15" hidden="false" customHeight="false" outlineLevel="0" collapsed="false">
      <c r="B14" s="3" t="s">
        <v>18</v>
      </c>
    </row>
    <row r="15" customFormat="false" ht="15" hidden="false" customHeight="false" outlineLevel="0" collapsed="false">
      <c r="B15" s="5" t="s">
        <v>19</v>
      </c>
      <c r="C15" s="2" t="s">
        <v>20</v>
      </c>
    </row>
    <row r="16" customFormat="false" ht="15" hidden="false" customHeight="false" outlineLevel="0" collapsed="false">
      <c r="B16" s="5" t="s">
        <v>21</v>
      </c>
      <c r="C16" s="2" t="s">
        <v>22</v>
      </c>
    </row>
    <row r="17" customFormat="false" ht="15" hidden="false" customHeight="false" outlineLevel="0" collapsed="false">
      <c r="B17" s="5" t="s">
        <v>23</v>
      </c>
      <c r="C17" s="2" t="s">
        <v>24</v>
      </c>
    </row>
    <row r="18" customFormat="false" ht="15" hidden="false" customHeight="false" outlineLevel="0" collapsed="false">
      <c r="B18" s="5" t="s">
        <v>14</v>
      </c>
      <c r="C18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3" min="3" style="0" width="46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14"/>
    <col collapsed="false" customWidth="true" hidden="false" outlineLevel="0" max="8" min="7" style="0" width="12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27</v>
      </c>
    </row>
    <row r="4" customFormat="false" ht="31.5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32</v>
      </c>
      <c r="F4" s="6" t="s">
        <v>33</v>
      </c>
      <c r="G4" s="6" t="s">
        <v>34</v>
      </c>
      <c r="H4" s="6" t="s">
        <v>35</v>
      </c>
      <c r="I4" s="6" t="s">
        <v>36</v>
      </c>
    </row>
    <row r="5" customFormat="false" ht="33.75" hidden="false" customHeight="true" outlineLevel="0" collapsed="false">
      <c r="A5" s="7" t="n">
        <v>1</v>
      </c>
      <c r="B5" s="7" t="s">
        <v>37</v>
      </c>
      <c r="C5" s="7" t="s">
        <v>38</v>
      </c>
      <c r="D5" s="7" t="s">
        <v>39</v>
      </c>
      <c r="E5" s="7" t="s">
        <v>40</v>
      </c>
      <c r="F5" s="7" t="s">
        <v>41</v>
      </c>
      <c r="G5" s="8" t="n">
        <v>1</v>
      </c>
      <c r="H5" s="8" t="n">
        <v>0.8</v>
      </c>
      <c r="I5" s="7" t="s">
        <v>42</v>
      </c>
    </row>
    <row r="6" customFormat="false" ht="33.75" hidden="false" customHeight="true" outlineLevel="0" collapsed="false">
      <c r="A6" s="7" t="n">
        <v>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47</v>
      </c>
      <c r="G6" s="9" t="n">
        <v>0.0001</v>
      </c>
      <c r="H6" s="9" t="n">
        <v>0.05</v>
      </c>
      <c r="I6" s="7" t="s">
        <v>48</v>
      </c>
    </row>
    <row r="7" customFormat="false" ht="33.75" hidden="false" customHeight="true" outlineLevel="0" collapsed="false">
      <c r="A7" s="7" t="n">
        <v>3</v>
      </c>
      <c r="B7" s="7" t="s">
        <v>49</v>
      </c>
      <c r="C7" s="7" t="s">
        <v>50</v>
      </c>
      <c r="D7" s="7" t="s">
        <v>51</v>
      </c>
      <c r="E7" s="7" t="s">
        <v>46</v>
      </c>
      <c r="F7" s="7" t="s">
        <v>47</v>
      </c>
      <c r="G7" s="10" t="n">
        <v>0.0001</v>
      </c>
      <c r="H7" s="10" t="n">
        <v>1</v>
      </c>
      <c r="I7" s="7" t="s">
        <v>52</v>
      </c>
    </row>
    <row r="8" customFormat="false" ht="33.75" hidden="false" customHeight="true" outlineLevel="0" collapsed="false">
      <c r="A8" s="7" t="n">
        <v>4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41</v>
      </c>
      <c r="G8" s="8" t="n">
        <v>0.98</v>
      </c>
      <c r="H8" s="8" t="n">
        <v>0.9</v>
      </c>
      <c r="I8" s="7" t="s">
        <v>57</v>
      </c>
    </row>
    <row r="9" customFormat="false" ht="33.75" hidden="false" customHeight="true" outlineLevel="0" collapsed="false">
      <c r="A9" s="7" t="n">
        <v>5</v>
      </c>
      <c r="B9" s="7" t="s">
        <v>58</v>
      </c>
      <c r="C9" s="7" t="s">
        <v>59</v>
      </c>
      <c r="D9" s="7" t="s">
        <v>51</v>
      </c>
      <c r="E9" s="7" t="s">
        <v>60</v>
      </c>
      <c r="F9" s="7" t="s">
        <v>61</v>
      </c>
      <c r="G9" s="10" t="n">
        <v>0</v>
      </c>
      <c r="H9" s="10" t="n">
        <v>0</v>
      </c>
      <c r="I9" s="7" t="s">
        <v>62</v>
      </c>
    </row>
    <row r="10" customFormat="false" ht="33.75" hidden="false" customHeight="true" outlineLevel="0" collapsed="false">
      <c r="A10" s="7" t="n">
        <v>6</v>
      </c>
      <c r="B10" s="7" t="s">
        <v>63</v>
      </c>
      <c r="C10" s="7" t="s">
        <v>64</v>
      </c>
      <c r="D10" s="7" t="s">
        <v>65</v>
      </c>
      <c r="E10" s="7" t="s">
        <v>66</v>
      </c>
      <c r="F10" s="7" t="s">
        <v>41</v>
      </c>
      <c r="G10" s="9" t="n">
        <v>0.45</v>
      </c>
      <c r="H10" s="9" t="n">
        <v>0.35</v>
      </c>
      <c r="I10" s="7" t="s">
        <v>67</v>
      </c>
    </row>
    <row r="11" customFormat="false" ht="33.75" hidden="false" customHeight="true" outlineLevel="0" collapsed="false">
      <c r="A11" s="7" t="n">
        <v>7</v>
      </c>
      <c r="B11" s="7" t="s">
        <v>68</v>
      </c>
      <c r="C11" s="7" t="s">
        <v>69</v>
      </c>
      <c r="D11" s="7" t="s">
        <v>70</v>
      </c>
      <c r="E11" s="7" t="s">
        <v>71</v>
      </c>
      <c r="F11" s="7" t="s">
        <v>41</v>
      </c>
      <c r="G11" s="9" t="n">
        <v>0.6</v>
      </c>
      <c r="H11" s="9" t="n">
        <v>0.4</v>
      </c>
      <c r="I11" s="7" t="s">
        <v>72</v>
      </c>
    </row>
    <row r="12" customFormat="false" ht="33.75" hidden="false" customHeight="true" outlineLevel="0" collapsed="false">
      <c r="A12" s="7" t="n">
        <v>8</v>
      </c>
      <c r="B12" s="7" t="s">
        <v>73</v>
      </c>
      <c r="C12" s="7" t="s">
        <v>74</v>
      </c>
      <c r="D12" s="7" t="s">
        <v>65</v>
      </c>
      <c r="E12" s="7" t="s">
        <v>71</v>
      </c>
      <c r="F12" s="7" t="s">
        <v>41</v>
      </c>
      <c r="G12" s="9" t="n">
        <v>0.3</v>
      </c>
      <c r="H12" s="9" t="n">
        <v>0.2</v>
      </c>
      <c r="I12" s="7" t="s">
        <v>75</v>
      </c>
    </row>
    <row r="13" customFormat="false" ht="33.75" hidden="false" customHeight="true" outlineLevel="0" collapsed="false">
      <c r="A13" s="7" t="n">
        <v>9</v>
      </c>
      <c r="B13" s="7" t="s">
        <v>76</v>
      </c>
      <c r="C13" s="7" t="s">
        <v>77</v>
      </c>
      <c r="D13" s="7" t="s">
        <v>78</v>
      </c>
      <c r="E13" s="7" t="s">
        <v>79</v>
      </c>
      <c r="F13" s="7" t="s">
        <v>41</v>
      </c>
      <c r="G13" s="9" t="n">
        <v>0.9</v>
      </c>
      <c r="H13" s="9" t="n">
        <v>0.8</v>
      </c>
      <c r="I13" s="7" t="s">
        <v>80</v>
      </c>
    </row>
    <row r="14" customFormat="false" ht="33.75" hidden="false" customHeight="true" outlineLevel="0" collapsed="false">
      <c r="A14" s="7" t="n">
        <v>10</v>
      </c>
      <c r="B14" s="7" t="s">
        <v>81</v>
      </c>
      <c r="C14" s="7" t="s">
        <v>82</v>
      </c>
      <c r="D14" s="7" t="s">
        <v>83</v>
      </c>
      <c r="E14" s="7" t="s">
        <v>56</v>
      </c>
      <c r="F14" s="7" t="s">
        <v>41</v>
      </c>
      <c r="G14" s="8" t="n">
        <v>1</v>
      </c>
      <c r="H14" s="8" t="n">
        <v>0.5</v>
      </c>
      <c r="I14" s="7" t="s">
        <v>84</v>
      </c>
    </row>
    <row r="16" customFormat="false" ht="15" hidden="false" customHeight="false" outlineLevel="0" collapsed="false">
      <c r="A16" s="2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86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  <row r="20" customFormat="false" ht="15" hidden="false" customHeight="false" outlineLevel="0" collapsed="false">
      <c r="B20" s="22" t="s">
        <v>96</v>
      </c>
    </row>
    <row r="21" customFormat="false" ht="15" hidden="false" customHeight="false" outlineLevel="0" collapsed="false">
      <c r="A21" s="23" t="n">
        <v>6</v>
      </c>
      <c r="B21" s="23" t="s">
        <v>63</v>
      </c>
      <c r="C21" s="23" t="n">
        <v>38</v>
      </c>
      <c r="D21" s="23" t="n">
        <v>84</v>
      </c>
      <c r="E21" s="24" t="n">
        <f aca="false">IF(OR(C21="",D21=""),"",C21/D21)</f>
        <v>0.452380952380952</v>
      </c>
      <c r="I21" s="2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98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99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100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102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105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106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107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108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14" min="3" style="0" width="9"/>
    <col collapsed="false" customWidth="true" hidden="false" outlineLevel="0" max="18" min="15" style="0" width="15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110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111</v>
      </c>
      <c r="D4" s="6" t="s">
        <v>112</v>
      </c>
      <c r="E4" s="6" t="s">
        <v>113</v>
      </c>
      <c r="F4" s="6" t="s">
        <v>114</v>
      </c>
      <c r="G4" s="6" t="s">
        <v>115</v>
      </c>
      <c r="H4" s="6" t="s">
        <v>116</v>
      </c>
      <c r="I4" s="6" t="s">
        <v>117</v>
      </c>
      <c r="J4" s="6" t="s">
        <v>118</v>
      </c>
      <c r="K4" s="6" t="s">
        <v>119</v>
      </c>
      <c r="L4" s="6" t="s">
        <v>120</v>
      </c>
      <c r="M4" s="6" t="s">
        <v>121</v>
      </c>
      <c r="N4" s="6" t="s">
        <v>122</v>
      </c>
      <c r="O4" s="6" t="s">
        <v>123</v>
      </c>
      <c r="P4" s="6" t="s">
        <v>124</v>
      </c>
      <c r="Q4" s="6" t="s">
        <v>125</v>
      </c>
      <c r="R4" s="6" t="s">
        <v>126</v>
      </c>
    </row>
    <row r="5" customFormat="false" ht="21.75" hidden="false" customHeight="true" outlineLevel="0" collapsed="false">
      <c r="A5" s="11" t="n">
        <v>1</v>
      </c>
      <c r="B5" s="11" t="s">
        <v>37</v>
      </c>
      <c r="C5" s="25" t="str">
        <f aca="false">IF('01 Enero'!E6="","",'01 Enero'!E6)</f>
        <v/>
      </c>
      <c r="D5" s="25" t="str">
        <f aca="false">IF('02 Febrero'!E6="","",'02 Febrero'!E6)</f>
        <v/>
      </c>
      <c r="E5" s="25" t="str">
        <f aca="false">IF('03 Marzo'!E6="","",'03 Marzo'!E6)</f>
        <v/>
      </c>
      <c r="F5" s="25" t="str">
        <f aca="false">IF('04 Abril'!E6="","",'04 Abril'!E6)</f>
        <v/>
      </c>
      <c r="G5" s="25" t="str">
        <f aca="false">IF('05 Mayo'!E6="","",'05 Mayo'!E6)</f>
        <v/>
      </c>
      <c r="H5" s="25" t="str">
        <f aca="false">IF('06 Junio'!E6="","",'06 Junio'!E6)</f>
        <v/>
      </c>
      <c r="I5" s="25" t="str">
        <f aca="false">IF('07 Julio'!E6="","",'07 Julio'!E6)</f>
        <v/>
      </c>
      <c r="J5" s="25" t="str">
        <f aca="false">IF('08 Agosto'!E6="","",'08 Agosto'!E6)</f>
        <v/>
      </c>
      <c r="K5" s="25" t="str">
        <f aca="false">IF('09 Septiembre'!E6="","",'09 Septiembre'!E6)</f>
        <v/>
      </c>
      <c r="L5" s="25" t="str">
        <f aca="false">IF('10 Octubre'!E6="","",'10 Octubre'!E6)</f>
        <v/>
      </c>
      <c r="M5" s="25" t="str">
        <f aca="false">IF('11 Noviembre'!E6="","",'11 Noviembre'!E6)</f>
        <v/>
      </c>
      <c r="N5" s="25" t="str">
        <f aca="false">IF('12 Diciembre'!E6="","",'12 Diciembre'!E6)</f>
        <v/>
      </c>
      <c r="O5" s="11" t="n">
        <f aca="false">COUNT(C5:N5)</f>
        <v>0</v>
      </c>
      <c r="P5" s="14" t="str">
        <f aca="false">IFERROR(INDEX(C5:N5,MATCH(TRUE(),INDEX(C5:N5&lt;&gt;"",0),0)),"")</f>
        <v/>
      </c>
      <c r="Q5" s="14" t="str">
        <f aca="false">IFERROR(LOOKUP(9.99E+307,C5:N5),"")</f>
        <v/>
      </c>
      <c r="R5" s="11" t="str">
        <f aca="false">IF(O5&lt;2,"—",IF(Q5=P5,"Estable",IF(Q5&gt;P5,"Mejora","Empeora")))</f>
        <v>—</v>
      </c>
    </row>
    <row r="6" customFormat="false" ht="21.75" hidden="false" customHeight="true" outlineLevel="0" collapsed="false">
      <c r="A6" s="11" t="n">
        <v>2</v>
      </c>
      <c r="B6" s="11" t="s">
        <v>43</v>
      </c>
      <c r="C6" s="26" t="str">
        <f aca="false">IF('01 Enero'!E7="","",'01 Enero'!E7)</f>
        <v/>
      </c>
      <c r="D6" s="26" t="str">
        <f aca="false">IF('02 Febrero'!E7="","",'02 Febrero'!E7)</f>
        <v/>
      </c>
      <c r="E6" s="26" t="str">
        <f aca="false">IF('03 Marzo'!E7="","",'03 Marzo'!E7)</f>
        <v/>
      </c>
      <c r="F6" s="26" t="str">
        <f aca="false">IF('04 Abril'!E7="","",'04 Abril'!E7)</f>
        <v/>
      </c>
      <c r="G6" s="26" t="str">
        <f aca="false">IF('05 Mayo'!E7="","",'05 Mayo'!E7)</f>
        <v/>
      </c>
      <c r="H6" s="26" t="str">
        <f aca="false">IF('06 Junio'!E7="","",'06 Junio'!E7)</f>
        <v/>
      </c>
      <c r="I6" s="26" t="str">
        <f aca="false">IF('07 Julio'!E7="","",'07 Julio'!E7)</f>
        <v/>
      </c>
      <c r="J6" s="26" t="str">
        <f aca="false">IF('08 Agosto'!E7="","",'08 Agosto'!E7)</f>
        <v/>
      </c>
      <c r="K6" s="26" t="str">
        <f aca="false">IF('09 Septiembre'!E7="","",'09 Septiembre'!E7)</f>
        <v/>
      </c>
      <c r="L6" s="26" t="str">
        <f aca="false">IF('10 Octubre'!E7="","",'10 Octubre'!E7)</f>
        <v/>
      </c>
      <c r="M6" s="26" t="str">
        <f aca="false">IF('11 Noviembre'!E7="","",'11 Noviembre'!E7)</f>
        <v/>
      </c>
      <c r="N6" s="26" t="str">
        <f aca="false">IF('12 Diciembre'!E7="","",'12 Diciembre'!E7)</f>
        <v/>
      </c>
      <c r="O6" s="11" t="n">
        <f aca="false">COUNT(C6:N6)</f>
        <v>0</v>
      </c>
      <c r="P6" s="18" t="str">
        <f aca="false">IFERROR(INDEX(C6:N6,MATCH(TRUE(),INDEX(C6:N6&lt;&gt;"",0),0)),"")</f>
        <v/>
      </c>
      <c r="Q6" s="18" t="str">
        <f aca="false">IFERROR(LOOKUP(9.99E+307,C6:N6),"")</f>
        <v/>
      </c>
      <c r="R6" s="11" t="str">
        <f aca="false">IF(O6&lt;2,"—",IF(Q6=P6,"Estable",IF(Q6&lt;P6,"Mejora","Empeora")))</f>
        <v>—</v>
      </c>
    </row>
    <row r="7" customFormat="false" ht="21.75" hidden="false" customHeight="true" outlineLevel="0" collapsed="false">
      <c r="A7" s="11" t="n">
        <v>3</v>
      </c>
      <c r="B7" s="11" t="s">
        <v>49</v>
      </c>
      <c r="C7" s="27" t="str">
        <f aca="false">IF('01 Enero'!E8="","",'01 Enero'!E8)</f>
        <v/>
      </c>
      <c r="D7" s="27" t="str">
        <f aca="false">IF('02 Febrero'!E8="","",'02 Febrero'!E8)</f>
        <v/>
      </c>
      <c r="E7" s="27" t="str">
        <f aca="false">IF('03 Marzo'!E8="","",'03 Marzo'!E8)</f>
        <v/>
      </c>
      <c r="F7" s="27" t="str">
        <f aca="false">IF('04 Abril'!E8="","",'04 Abril'!E8)</f>
        <v/>
      </c>
      <c r="G7" s="27" t="str">
        <f aca="false">IF('05 Mayo'!E8="","",'05 Mayo'!E8)</f>
        <v/>
      </c>
      <c r="H7" s="27" t="str">
        <f aca="false">IF('06 Junio'!E8="","",'06 Junio'!E8)</f>
        <v/>
      </c>
      <c r="I7" s="27" t="str">
        <f aca="false">IF('07 Julio'!E8="","",'07 Julio'!E8)</f>
        <v/>
      </c>
      <c r="J7" s="27" t="str">
        <f aca="false">IF('08 Agosto'!E8="","",'08 Agosto'!E8)</f>
        <v/>
      </c>
      <c r="K7" s="27" t="str">
        <f aca="false">IF('09 Septiembre'!E8="","",'09 Septiembre'!E8)</f>
        <v/>
      </c>
      <c r="L7" s="27" t="str">
        <f aca="false">IF('10 Octubre'!E8="","",'10 Octubre'!E8)</f>
        <v/>
      </c>
      <c r="M7" s="27" t="str">
        <f aca="false">IF('11 Noviembre'!E8="","",'11 Noviembre'!E8)</f>
        <v/>
      </c>
      <c r="N7" s="27" t="str">
        <f aca="false">IF('12 Diciembre'!E8="","",'12 Diciembre'!E8)</f>
        <v/>
      </c>
      <c r="O7" s="11" t="n">
        <f aca="false">COUNT(C7:N7)</f>
        <v>0</v>
      </c>
      <c r="P7" s="20" t="str">
        <f aca="false">IFERROR(INDEX(C7:N7,MATCH(TRUE(),INDEX(C7:N7&lt;&gt;"",0),0)),"")</f>
        <v/>
      </c>
      <c r="Q7" s="20" t="str">
        <f aca="false">IFERROR(LOOKUP(9.99E+307,C7:N7),"")</f>
        <v/>
      </c>
      <c r="R7" s="11" t="str">
        <f aca="false">IF(O7&lt;2,"—",IF(Q7=P7,"Estable",IF(Q7&lt;P7,"Mejora","Empeora")))</f>
        <v>—</v>
      </c>
    </row>
    <row r="8" customFormat="false" ht="21.75" hidden="false" customHeight="true" outlineLevel="0" collapsed="false">
      <c r="A8" s="11" t="n">
        <v>4</v>
      </c>
      <c r="B8" s="11" t="s">
        <v>53</v>
      </c>
      <c r="C8" s="25" t="str">
        <f aca="false">IF('01 Enero'!E9="","",'01 Enero'!E9)</f>
        <v/>
      </c>
      <c r="D8" s="25" t="str">
        <f aca="false">IF('02 Febrero'!E9="","",'02 Febrero'!E9)</f>
        <v/>
      </c>
      <c r="E8" s="25" t="str">
        <f aca="false">IF('03 Marzo'!E9="","",'03 Marzo'!E9)</f>
        <v/>
      </c>
      <c r="F8" s="25" t="str">
        <f aca="false">IF('04 Abril'!E9="","",'04 Abril'!E9)</f>
        <v/>
      </c>
      <c r="G8" s="25" t="str">
        <f aca="false">IF('05 Mayo'!E9="","",'05 Mayo'!E9)</f>
        <v/>
      </c>
      <c r="H8" s="25" t="str">
        <f aca="false">IF('06 Junio'!E9="","",'06 Junio'!E9)</f>
        <v/>
      </c>
      <c r="I8" s="25" t="str">
        <f aca="false">IF('07 Julio'!E9="","",'07 Julio'!E9)</f>
        <v/>
      </c>
      <c r="J8" s="25" t="str">
        <f aca="false">IF('08 Agosto'!E9="","",'08 Agosto'!E9)</f>
        <v/>
      </c>
      <c r="K8" s="25" t="str">
        <f aca="false">IF('09 Septiembre'!E9="","",'09 Septiembre'!E9)</f>
        <v/>
      </c>
      <c r="L8" s="25" t="str">
        <f aca="false">IF('10 Octubre'!E9="","",'10 Octubre'!E9)</f>
        <v/>
      </c>
      <c r="M8" s="25" t="str">
        <f aca="false">IF('11 Noviembre'!E9="","",'11 Noviembre'!E9)</f>
        <v/>
      </c>
      <c r="N8" s="25" t="str">
        <f aca="false">IF('12 Diciembre'!E9="","",'12 Diciembre'!E9)</f>
        <v/>
      </c>
      <c r="O8" s="11" t="n">
        <f aca="false">COUNT(C8:N8)</f>
        <v>0</v>
      </c>
      <c r="P8" s="14" t="str">
        <f aca="false">IFERROR(INDEX(C8:N8,MATCH(TRUE(),INDEX(C8:N8&lt;&gt;"",0),0)),"")</f>
        <v/>
      </c>
      <c r="Q8" s="14" t="str">
        <f aca="false">IFERROR(LOOKUP(9.99E+307,C8:N8),"")</f>
        <v/>
      </c>
      <c r="R8" s="11" t="str">
        <f aca="false">IF(O8&lt;2,"—",IF(Q8=P8,"Estable",IF(Q8&gt;P8,"Mejora","Empeora")))</f>
        <v>—</v>
      </c>
    </row>
    <row r="9" customFormat="false" ht="21.75" hidden="false" customHeight="true" outlineLevel="0" collapsed="false">
      <c r="A9" s="11" t="n">
        <v>5</v>
      </c>
      <c r="B9" s="11" t="s">
        <v>58</v>
      </c>
      <c r="C9" s="28" t="str">
        <f aca="false">IF('01 Enero'!E10="","",'01 Enero'!E10)</f>
        <v/>
      </c>
      <c r="D9" s="28" t="str">
        <f aca="false">IF('02 Febrero'!E10="","",'02 Febrero'!E10)</f>
        <v/>
      </c>
      <c r="E9" s="28" t="str">
        <f aca="false">IF('03 Marzo'!E10="","",'03 Marzo'!E10)</f>
        <v/>
      </c>
      <c r="F9" s="28" t="str">
        <f aca="false">IF('04 Abril'!E10="","",'04 Abril'!E10)</f>
        <v/>
      </c>
      <c r="G9" s="28" t="str">
        <f aca="false">IF('05 Mayo'!E10="","",'05 Mayo'!E10)</f>
        <v/>
      </c>
      <c r="H9" s="28" t="str">
        <f aca="false">IF('06 Junio'!E10="","",'06 Junio'!E10)</f>
        <v/>
      </c>
      <c r="I9" s="28" t="str">
        <f aca="false">IF('07 Julio'!E10="","",'07 Julio'!E10)</f>
        <v/>
      </c>
      <c r="J9" s="28" t="str">
        <f aca="false">IF('08 Agosto'!E10="","",'08 Agosto'!E10)</f>
        <v/>
      </c>
      <c r="K9" s="28" t="str">
        <f aca="false">IF('09 Septiembre'!E10="","",'09 Septiembre'!E10)</f>
        <v/>
      </c>
      <c r="L9" s="28" t="str">
        <f aca="false">IF('10 Octubre'!E10="","",'10 Octubre'!E10)</f>
        <v/>
      </c>
      <c r="M9" s="28" t="str">
        <f aca="false">IF('11 Noviembre'!E10="","",'11 Noviembre'!E10)</f>
        <v/>
      </c>
      <c r="N9" s="28" t="str">
        <f aca="false">IF('12 Diciembre'!E10="","",'12 Diciembre'!E10)</f>
        <v/>
      </c>
      <c r="O9" s="11" t="n">
        <f aca="false">COUNT(C9:N9)</f>
        <v>0</v>
      </c>
      <c r="P9" s="21" t="str">
        <f aca="false">IFERROR(INDEX(C9:N9,MATCH(TRUE(),INDEX(C9:N9&lt;&gt;"",0),0)),"")</f>
        <v/>
      </c>
      <c r="Q9" s="21" t="str">
        <f aca="false">IFERROR(LOOKUP(9.99E+307,C9:N9),"")</f>
        <v/>
      </c>
      <c r="R9" s="11" t="str">
        <f aca="false">IF(O9&lt;2,"—",IF(Q9=P9,"Estable",IF(Q9&lt;P9,"Mejora","Empeora")))</f>
        <v>—</v>
      </c>
    </row>
    <row r="10" customFormat="false" ht="21.75" hidden="false" customHeight="true" outlineLevel="0" collapsed="false">
      <c r="A10" s="11" t="n">
        <v>6</v>
      </c>
      <c r="B10" s="11" t="s">
        <v>63</v>
      </c>
      <c r="C10" s="26" t="str">
        <f aca="false">IF('01 Enero'!E11="","",'01 Enero'!E11)</f>
        <v/>
      </c>
      <c r="D10" s="26" t="str">
        <f aca="false">IF('02 Febrero'!E11="","",'02 Febrero'!E11)</f>
        <v/>
      </c>
      <c r="E10" s="26" t="str">
        <f aca="false">IF('03 Marzo'!E11="","",'03 Marzo'!E11)</f>
        <v/>
      </c>
      <c r="F10" s="26" t="str">
        <f aca="false">IF('04 Abril'!E11="","",'04 Abril'!E11)</f>
        <v/>
      </c>
      <c r="G10" s="26" t="str">
        <f aca="false">IF('05 Mayo'!E11="","",'05 Mayo'!E11)</f>
        <v/>
      </c>
      <c r="H10" s="26" t="str">
        <f aca="false">IF('06 Junio'!E11="","",'06 Junio'!E11)</f>
        <v/>
      </c>
      <c r="I10" s="26" t="str">
        <f aca="false">IF('07 Julio'!E11="","",'07 Julio'!E11)</f>
        <v/>
      </c>
      <c r="J10" s="26" t="str">
        <f aca="false">IF('08 Agosto'!E11="","",'08 Agosto'!E11)</f>
        <v/>
      </c>
      <c r="K10" s="26" t="str">
        <f aca="false">IF('09 Septiembre'!E11="","",'09 Septiembre'!E11)</f>
        <v/>
      </c>
      <c r="L10" s="26" t="str">
        <f aca="false">IF('10 Octubre'!E11="","",'10 Octubre'!E11)</f>
        <v/>
      </c>
      <c r="M10" s="26" t="str">
        <f aca="false">IF('11 Noviembre'!E11="","",'11 Noviembre'!E11)</f>
        <v/>
      </c>
      <c r="N10" s="26" t="str">
        <f aca="false">IF('12 Diciembre'!E11="","",'12 Diciembre'!E11)</f>
        <v/>
      </c>
      <c r="O10" s="11" t="n">
        <f aca="false">COUNT(C10:N10)</f>
        <v>0</v>
      </c>
      <c r="P10" s="18" t="str">
        <f aca="false">IFERROR(INDEX(C10:N10,MATCH(TRUE(),INDEX(C10:N10&lt;&gt;"",0),0)),"")</f>
        <v/>
      </c>
      <c r="Q10" s="18" t="str">
        <f aca="false">IFERROR(LOOKUP(9.99E+307,C10:N10),"")</f>
        <v/>
      </c>
      <c r="R10" s="11" t="str">
        <f aca="false">IF(O10&lt;2,"—",IF(Q10=P10,"Estable",IF(Q10&gt;P10,"Mejora","Empeora")))</f>
        <v>—</v>
      </c>
    </row>
    <row r="11" customFormat="false" ht="21.75" hidden="false" customHeight="true" outlineLevel="0" collapsed="false">
      <c r="A11" s="11" t="n">
        <v>7</v>
      </c>
      <c r="B11" s="11" t="s">
        <v>68</v>
      </c>
      <c r="C11" s="26" t="str">
        <f aca="false">IF('01 Enero'!E12="","",'01 Enero'!E12)</f>
        <v/>
      </c>
      <c r="D11" s="26" t="str">
        <f aca="false">IF('02 Febrero'!E12="","",'02 Febrero'!E12)</f>
        <v/>
      </c>
      <c r="E11" s="26" t="str">
        <f aca="false">IF('03 Marzo'!E12="","",'03 Marzo'!E12)</f>
        <v/>
      </c>
      <c r="F11" s="26" t="str">
        <f aca="false">IF('04 Abril'!E12="","",'04 Abril'!E12)</f>
        <v/>
      </c>
      <c r="G11" s="26" t="str">
        <f aca="false">IF('05 Mayo'!E12="","",'05 Mayo'!E12)</f>
        <v/>
      </c>
      <c r="H11" s="26" t="str">
        <f aca="false">IF('06 Junio'!E12="","",'06 Junio'!E12)</f>
        <v/>
      </c>
      <c r="I11" s="26" t="str">
        <f aca="false">IF('07 Julio'!E12="","",'07 Julio'!E12)</f>
        <v/>
      </c>
      <c r="J11" s="26" t="str">
        <f aca="false">IF('08 Agosto'!E12="","",'08 Agosto'!E12)</f>
        <v/>
      </c>
      <c r="K11" s="26" t="str">
        <f aca="false">IF('09 Septiembre'!E12="","",'09 Septiembre'!E12)</f>
        <v/>
      </c>
      <c r="L11" s="26" t="str">
        <f aca="false">IF('10 Octubre'!E12="","",'10 Octubre'!E12)</f>
        <v/>
      </c>
      <c r="M11" s="26" t="str">
        <f aca="false">IF('11 Noviembre'!E12="","",'11 Noviembre'!E12)</f>
        <v/>
      </c>
      <c r="N11" s="26" t="str">
        <f aca="false">IF('12 Diciembre'!E12="","",'12 Diciembre'!E12)</f>
        <v/>
      </c>
      <c r="O11" s="11" t="n">
        <f aca="false">COUNT(C11:N11)</f>
        <v>0</v>
      </c>
      <c r="P11" s="18" t="str">
        <f aca="false">IFERROR(INDEX(C11:N11,MATCH(TRUE(),INDEX(C11:N11&lt;&gt;"",0),0)),"")</f>
        <v/>
      </c>
      <c r="Q11" s="18" t="str">
        <f aca="false">IFERROR(LOOKUP(9.99E+307,C11:N11),"")</f>
        <v/>
      </c>
      <c r="R11" s="11" t="str">
        <f aca="false">IF(O11&lt;2,"—",IF(Q11=P11,"Estable",IF(Q11&gt;P11,"Mejora","Empeora")))</f>
        <v>—</v>
      </c>
    </row>
    <row r="12" customFormat="false" ht="21.75" hidden="false" customHeight="true" outlineLevel="0" collapsed="false">
      <c r="A12" s="11" t="n">
        <v>8</v>
      </c>
      <c r="B12" s="11" t="s">
        <v>73</v>
      </c>
      <c r="C12" s="26" t="str">
        <f aca="false">IF('01 Enero'!E13="","",'01 Enero'!E13)</f>
        <v/>
      </c>
      <c r="D12" s="26" t="str">
        <f aca="false">IF('02 Febrero'!E13="","",'02 Febrero'!E13)</f>
        <v/>
      </c>
      <c r="E12" s="26" t="str">
        <f aca="false">IF('03 Marzo'!E13="","",'03 Marzo'!E13)</f>
        <v/>
      </c>
      <c r="F12" s="26" t="str">
        <f aca="false">IF('04 Abril'!E13="","",'04 Abril'!E13)</f>
        <v/>
      </c>
      <c r="G12" s="26" t="str">
        <f aca="false">IF('05 Mayo'!E13="","",'05 Mayo'!E13)</f>
        <v/>
      </c>
      <c r="H12" s="26" t="str">
        <f aca="false">IF('06 Junio'!E13="","",'06 Junio'!E13)</f>
        <v/>
      </c>
      <c r="I12" s="26" t="str">
        <f aca="false">IF('07 Julio'!E13="","",'07 Julio'!E13)</f>
        <v/>
      </c>
      <c r="J12" s="26" t="str">
        <f aca="false">IF('08 Agosto'!E13="","",'08 Agosto'!E13)</f>
        <v/>
      </c>
      <c r="K12" s="26" t="str">
        <f aca="false">IF('09 Septiembre'!E13="","",'09 Septiembre'!E13)</f>
        <v/>
      </c>
      <c r="L12" s="26" t="str">
        <f aca="false">IF('10 Octubre'!E13="","",'10 Octubre'!E13)</f>
        <v/>
      </c>
      <c r="M12" s="26" t="str">
        <f aca="false">IF('11 Noviembre'!E13="","",'11 Noviembre'!E13)</f>
        <v/>
      </c>
      <c r="N12" s="26" t="str">
        <f aca="false">IF('12 Diciembre'!E13="","",'12 Diciembre'!E13)</f>
        <v/>
      </c>
      <c r="O12" s="11" t="n">
        <f aca="false">COUNT(C12:N12)</f>
        <v>0</v>
      </c>
      <c r="P12" s="18" t="str">
        <f aca="false">IFERROR(INDEX(C12:N12,MATCH(TRUE(),INDEX(C12:N12&lt;&gt;"",0),0)),"")</f>
        <v/>
      </c>
      <c r="Q12" s="18" t="str">
        <f aca="false">IFERROR(LOOKUP(9.99E+307,C12:N12),"")</f>
        <v/>
      </c>
      <c r="R12" s="11" t="str">
        <f aca="false">IF(O12&lt;2,"—",IF(Q12=P12,"Estable",IF(Q12&gt;P12,"Mejora","Empeora")))</f>
        <v>—</v>
      </c>
    </row>
    <row r="13" customFormat="false" ht="21.75" hidden="false" customHeight="true" outlineLevel="0" collapsed="false">
      <c r="A13" s="11" t="n">
        <v>9</v>
      </c>
      <c r="B13" s="11" t="s">
        <v>76</v>
      </c>
      <c r="C13" s="26" t="str">
        <f aca="false">IF('01 Enero'!E14="","",'01 Enero'!E14)</f>
        <v/>
      </c>
      <c r="D13" s="26" t="str">
        <f aca="false">IF('02 Febrero'!E14="","",'02 Febrero'!E14)</f>
        <v/>
      </c>
      <c r="E13" s="26" t="str">
        <f aca="false">IF('03 Marzo'!E14="","",'03 Marzo'!E14)</f>
        <v/>
      </c>
      <c r="F13" s="26" t="str">
        <f aca="false">IF('04 Abril'!E14="","",'04 Abril'!E14)</f>
        <v/>
      </c>
      <c r="G13" s="26" t="str">
        <f aca="false">IF('05 Mayo'!E14="","",'05 Mayo'!E14)</f>
        <v/>
      </c>
      <c r="H13" s="26" t="str">
        <f aca="false">IF('06 Junio'!E14="","",'06 Junio'!E14)</f>
        <v/>
      </c>
      <c r="I13" s="26" t="str">
        <f aca="false">IF('07 Julio'!E14="","",'07 Julio'!E14)</f>
        <v/>
      </c>
      <c r="J13" s="26" t="str">
        <f aca="false">IF('08 Agosto'!E14="","",'08 Agosto'!E14)</f>
        <v/>
      </c>
      <c r="K13" s="26" t="str">
        <f aca="false">IF('09 Septiembre'!E14="","",'09 Septiembre'!E14)</f>
        <v/>
      </c>
      <c r="L13" s="26" t="str">
        <f aca="false">IF('10 Octubre'!E14="","",'10 Octubre'!E14)</f>
        <v/>
      </c>
      <c r="M13" s="26" t="str">
        <f aca="false">IF('11 Noviembre'!E14="","",'11 Noviembre'!E14)</f>
        <v/>
      </c>
      <c r="N13" s="26" t="str">
        <f aca="false">IF('12 Diciembre'!E14="","",'12 Diciembre'!E14)</f>
        <v/>
      </c>
      <c r="O13" s="11" t="n">
        <f aca="false">COUNT(C13:N13)</f>
        <v>0</v>
      </c>
      <c r="P13" s="18" t="str">
        <f aca="false">IFERROR(INDEX(C13:N13,MATCH(TRUE(),INDEX(C13:N13&lt;&gt;"",0),0)),"")</f>
        <v/>
      </c>
      <c r="Q13" s="18" t="str">
        <f aca="false">IFERROR(LOOKUP(9.99E+307,C13:N13),"")</f>
        <v/>
      </c>
      <c r="R13" s="11" t="str">
        <f aca="false">IF(O13&lt;2,"—",IF(Q13=P13,"Estable",IF(Q13&gt;P13,"Mejora","Empeora")))</f>
        <v>—</v>
      </c>
    </row>
    <row r="14" customFormat="false" ht="21.75" hidden="false" customHeight="true" outlineLevel="0" collapsed="false">
      <c r="A14" s="11" t="n">
        <v>10</v>
      </c>
      <c r="B14" s="11" t="s">
        <v>81</v>
      </c>
      <c r="C14" s="25" t="str">
        <f aca="false">IF('01 Enero'!E15="","",'01 Enero'!E15)</f>
        <v/>
      </c>
      <c r="D14" s="25" t="str">
        <f aca="false">IF('02 Febrero'!E15="","",'02 Febrero'!E15)</f>
        <v/>
      </c>
      <c r="E14" s="25" t="str">
        <f aca="false">IF('03 Marzo'!E15="","",'03 Marzo'!E15)</f>
        <v/>
      </c>
      <c r="F14" s="25" t="str">
        <f aca="false">IF('04 Abril'!E15="","",'04 Abril'!E15)</f>
        <v/>
      </c>
      <c r="G14" s="25" t="str">
        <f aca="false">IF('05 Mayo'!E15="","",'05 Mayo'!E15)</f>
        <v/>
      </c>
      <c r="H14" s="25" t="str">
        <f aca="false">IF('06 Junio'!E15="","",'06 Junio'!E15)</f>
        <v/>
      </c>
      <c r="I14" s="25" t="str">
        <f aca="false">IF('07 Julio'!E15="","",'07 Julio'!E15)</f>
        <v/>
      </c>
      <c r="J14" s="25" t="str">
        <f aca="false">IF('08 Agosto'!E15="","",'08 Agosto'!E15)</f>
        <v/>
      </c>
      <c r="K14" s="25" t="str">
        <f aca="false">IF('09 Septiembre'!E15="","",'09 Septiembre'!E15)</f>
        <v/>
      </c>
      <c r="L14" s="25" t="str">
        <f aca="false">IF('10 Octubre'!E15="","",'10 Octubre'!E15)</f>
        <v/>
      </c>
      <c r="M14" s="25" t="str">
        <f aca="false">IF('11 Noviembre'!E15="","",'11 Noviembre'!E15)</f>
        <v/>
      </c>
      <c r="N14" s="25" t="str">
        <f aca="false">IF('12 Diciembre'!E15="","",'12 Diciembre'!E15)</f>
        <v/>
      </c>
      <c r="O14" s="11" t="n">
        <f aca="false">COUNT(C14:N14)</f>
        <v>0</v>
      </c>
      <c r="P14" s="14" t="str">
        <f aca="false">IFERROR(INDEX(C14:N14,MATCH(TRUE(),INDEX(C14:N14&lt;&gt;"",0),0)),"")</f>
        <v/>
      </c>
      <c r="Q14" s="14" t="str">
        <f aca="false">IFERROR(LOOKUP(9.99E+307,C14:N14),"")</f>
        <v/>
      </c>
      <c r="R14" s="11" t="str">
        <f aca="false">IF(O14&lt;2,"—",IF(Q14=P14,"Estable",IF(Q14&gt;P14,"Mejora","Empeora")))</f>
        <v>—</v>
      </c>
    </row>
    <row r="16" customFormat="false" ht="15" hidden="false" customHeight="false" outlineLevel="0" collapsed="false">
      <c r="B16" s="2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58"/>
  </cols>
  <sheetData>
    <row r="1" customFormat="false" ht="17.35" hidden="false" customHeight="false" outlineLevel="0" collapsed="false">
      <c r="A1" s="1" t="s">
        <v>128</v>
      </c>
    </row>
    <row r="2" customFormat="false" ht="15" hidden="false" customHeight="false" outlineLevel="0" collapsed="false">
      <c r="A2" s="2" t="s">
        <v>129</v>
      </c>
    </row>
    <row r="4" customFormat="false" ht="15" hidden="false" customHeight="false" outlineLevel="0" collapsed="false">
      <c r="B4" s="3" t="s">
        <v>130</v>
      </c>
    </row>
    <row r="5" customFormat="false" ht="15" hidden="false" customHeight="false" outlineLevel="0" collapsed="false">
      <c r="B5" s="5" t="s">
        <v>131</v>
      </c>
      <c r="C5" s="29"/>
      <c r="E5" s="2" t="s">
        <v>132</v>
      </c>
    </row>
    <row r="6" customFormat="false" ht="15" hidden="false" customHeight="false" outlineLevel="0" collapsed="false">
      <c r="B6" s="5" t="s">
        <v>133</v>
      </c>
      <c r="C6" s="30" t="n">
        <v>0.4</v>
      </c>
      <c r="E6" s="2" t="s">
        <v>134</v>
      </c>
    </row>
    <row r="7" customFormat="false" ht="15" hidden="false" customHeight="false" outlineLevel="0" collapsed="false">
      <c r="B7" s="5" t="s">
        <v>135</v>
      </c>
      <c r="C7" s="29" t="n">
        <v>1800</v>
      </c>
      <c r="E7" s="2" t="s">
        <v>136</v>
      </c>
    </row>
    <row r="8" customFormat="false" ht="15" hidden="false" customHeight="false" outlineLevel="0" collapsed="false">
      <c r="B8" s="5" t="s">
        <v>63</v>
      </c>
      <c r="C8" s="31" t="n">
        <v>0.45</v>
      </c>
      <c r="E8" s="2" t="s">
        <v>137</v>
      </c>
    </row>
    <row r="9" customFormat="false" ht="15" hidden="false" customHeight="false" outlineLevel="0" collapsed="false">
      <c r="B9" s="5" t="s">
        <v>138</v>
      </c>
      <c r="C9" s="32" t="n">
        <v>21</v>
      </c>
      <c r="E9" s="2" t="s">
        <v>139</v>
      </c>
    </row>
    <row r="10" customFormat="false" ht="15" hidden="false" customHeight="false" outlineLevel="0" collapsed="false">
      <c r="B10" s="5" t="s">
        <v>140</v>
      </c>
      <c r="C10" s="29"/>
      <c r="E10" s="2" t="s">
        <v>141</v>
      </c>
    </row>
    <row r="11" customFormat="false" ht="15" hidden="false" customHeight="false" outlineLevel="0" collapsed="false">
      <c r="B11" s="5" t="s">
        <v>142</v>
      </c>
      <c r="C11" s="29"/>
      <c r="E11" s="2" t="s">
        <v>143</v>
      </c>
    </row>
    <row r="14" customFormat="false" ht="15" hidden="false" customHeight="false" outlineLevel="0" collapsed="false">
      <c r="B14" s="3" t="s">
        <v>144</v>
      </c>
    </row>
    <row r="15" customFormat="false" ht="19.5" hidden="false" customHeight="true" outlineLevel="0" collapsed="false">
      <c r="B15" s="3" t="s">
        <v>145</v>
      </c>
      <c r="C15" s="21" t="str">
        <f aca="false">IF(C5="","pendiente",C5)</f>
        <v>pendiente</v>
      </c>
      <c r="E15" s="2" t="s">
        <v>146</v>
      </c>
    </row>
    <row r="16" customFormat="false" ht="19.5" hidden="false" customHeight="true" outlineLevel="0" collapsed="false">
      <c r="B16" s="3" t="s">
        <v>147</v>
      </c>
      <c r="C16" s="21" t="str">
        <f aca="false">IF(OR(C5="",C6=0),"pendiente",C5/C6)</f>
        <v>pendiente</v>
      </c>
      <c r="E16" s="2" t="s">
        <v>148</v>
      </c>
    </row>
    <row r="17" customFormat="false" ht="19.5" hidden="false" customHeight="true" outlineLevel="0" collapsed="false">
      <c r="B17" s="3" t="s">
        <v>149</v>
      </c>
      <c r="C17" s="33" t="str">
        <f aca="false">IF(OR(C15="",C16="pendiente",C7=0,C8=0,C9=0),"pendiente",C16/(C8*C7)/C9)</f>
        <v>pendiente</v>
      </c>
      <c r="E17" s="2" t="s">
        <v>150</v>
      </c>
    </row>
    <row r="18" customFormat="false" ht="19.5" hidden="false" customHeight="true" outlineLevel="0" collapsed="false">
      <c r="B18" s="3" t="s">
        <v>151</v>
      </c>
      <c r="C18" s="21" t="str">
        <f aca="false">IF(C11="","pendiente",C11)</f>
        <v>pendiente</v>
      </c>
      <c r="E18" s="2" t="s">
        <v>152</v>
      </c>
    </row>
    <row r="19" customFormat="false" ht="19.5" hidden="false" customHeight="true" outlineLevel="0" collapsed="false">
      <c r="B19" s="3" t="s">
        <v>153</v>
      </c>
      <c r="C19" s="33" t="str">
        <f aca="false">IF(OR(C10="",C5="",C5=0),"pendiente",C10/C5)</f>
        <v>pendiente</v>
      </c>
      <c r="E19" s="2" t="s">
        <v>154</v>
      </c>
    </row>
    <row r="21" customFormat="false" ht="15" hidden="false" customHeight="false" outlineLevel="0" collapsed="false">
      <c r="B21" s="2" t="s">
        <v>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2026-08-25T18:46:26Z</dcterms:created>
  <dc:creator>openpyxl</dc:creator>
  <dc:description/>
  <dc:language>en-US</dc:language>
  <cp:lastModifiedBy/>
  <dcterms:modified xsi:type="dcterms:W3CDTF">2026-08-25T18:46:26Z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